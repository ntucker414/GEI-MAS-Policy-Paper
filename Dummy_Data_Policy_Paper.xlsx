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ucker/Desktop/artificial structures/"/>
    </mc:Choice>
  </mc:AlternateContent>
  <xr:revisionPtr revIDLastSave="0" documentId="13_ncr:1_{CE0C2217-D8B7-214E-90F8-CE889DA1D9E1}" xr6:coauthVersionLast="47" xr6:coauthVersionMax="47" xr10:uidLastSave="{00000000-0000-0000-0000-000000000000}"/>
  <bookViews>
    <workbookView xWindow="-33500" yWindow="-3640" windowWidth="31800" windowHeight="18980" activeTab="3" xr2:uid="{3C8990EC-3C31-074B-BFBC-EBD6F7C7B9A7}"/>
  </bookViews>
  <sheets>
    <sheet name="Code Options" sheetId="1" r:id="rId1"/>
    <sheet name="States and Locations" sheetId="3" r:id="rId2"/>
    <sheet name="Master Sheet" sheetId="2" r:id="rId3"/>
    <sheet name="To Be Saved as CSV file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2" l="1"/>
  <c r="A3" i="2"/>
  <c r="B3" i="2" s="1"/>
  <c r="C3" i="2"/>
  <c r="D3" i="2" s="1"/>
  <c r="E3" i="2"/>
  <c r="G3" i="2"/>
  <c r="I3" i="2"/>
  <c r="L3" i="2" s="1"/>
  <c r="K3" i="2"/>
  <c r="N3" i="2" s="1"/>
  <c r="M3" i="2"/>
  <c r="O3" i="2"/>
  <c r="U3" i="2"/>
  <c r="W3" i="2"/>
  <c r="Y3" i="2"/>
  <c r="A4" i="2"/>
  <c r="B4" i="2" s="1"/>
  <c r="C4" i="2"/>
  <c r="D4" i="2" s="1"/>
  <c r="E4" i="2"/>
  <c r="G4" i="2"/>
  <c r="J4" i="2" s="1"/>
  <c r="I4" i="2"/>
  <c r="L4" i="2" s="1"/>
  <c r="K4" i="2"/>
  <c r="N4" i="2" s="1"/>
  <c r="M4" i="2"/>
  <c r="O4" i="2"/>
  <c r="U4" i="2"/>
  <c r="W4" i="2"/>
  <c r="Y4" i="2"/>
  <c r="A5" i="2"/>
  <c r="B5" i="2" s="1"/>
  <c r="C5" i="2"/>
  <c r="E5" i="2"/>
  <c r="F5" i="2" s="1"/>
  <c r="G5" i="2"/>
  <c r="J5" i="2" s="1"/>
  <c r="I5" i="2"/>
  <c r="K5" i="2"/>
  <c r="M5" i="2"/>
  <c r="O5" i="2"/>
  <c r="U5" i="2"/>
  <c r="W5" i="2"/>
  <c r="Y5" i="2"/>
  <c r="A6" i="2"/>
  <c r="B6" i="2" s="1"/>
  <c r="C6" i="2"/>
  <c r="D6" i="2" s="1"/>
  <c r="E6" i="2"/>
  <c r="G6" i="2"/>
  <c r="I6" i="2"/>
  <c r="L6" i="2" s="1"/>
  <c r="K6" i="2"/>
  <c r="N6" i="2" s="1"/>
  <c r="M6" i="2"/>
  <c r="O6" i="2"/>
  <c r="U6" i="2"/>
  <c r="W6" i="2"/>
  <c r="Y6" i="2"/>
  <c r="A7" i="2"/>
  <c r="C7" i="2"/>
  <c r="E7" i="2"/>
  <c r="F7" i="2" s="1"/>
  <c r="G7" i="2"/>
  <c r="J7" i="2" s="1"/>
  <c r="I7" i="2"/>
  <c r="L7" i="2" s="1"/>
  <c r="K7" i="2"/>
  <c r="M7" i="2"/>
  <c r="O7" i="2"/>
  <c r="U7" i="2"/>
  <c r="W7" i="2"/>
  <c r="Y7" i="2"/>
  <c r="A8" i="2"/>
  <c r="B8" i="2" s="1"/>
  <c r="C8" i="2"/>
  <c r="E8" i="2"/>
  <c r="G8" i="2"/>
  <c r="I8" i="2"/>
  <c r="L8" i="2" s="1"/>
  <c r="K8" i="2"/>
  <c r="N8" i="2" s="1"/>
  <c r="M8" i="2"/>
  <c r="O8" i="2"/>
  <c r="U8" i="2"/>
  <c r="W8" i="2"/>
  <c r="Y8" i="2"/>
  <c r="A9" i="2"/>
  <c r="B9" i="2" s="1"/>
  <c r="C9" i="2"/>
  <c r="D9" i="2" s="1"/>
  <c r="E9" i="2"/>
  <c r="G9" i="2"/>
  <c r="I9" i="2"/>
  <c r="L9" i="2" s="1"/>
  <c r="K9" i="2"/>
  <c r="N9" i="2" s="1"/>
  <c r="M9" i="2"/>
  <c r="O9" i="2"/>
  <c r="U9" i="2"/>
  <c r="W9" i="2"/>
  <c r="Y9" i="2"/>
  <c r="A10" i="2"/>
  <c r="C10" i="2"/>
  <c r="D10" i="2" s="1"/>
  <c r="E10" i="2"/>
  <c r="G10" i="2"/>
  <c r="J10" i="2" s="1"/>
  <c r="I10" i="2"/>
  <c r="L10" i="2" s="1"/>
  <c r="K10" i="2"/>
  <c r="N10" i="2" s="1"/>
  <c r="M10" i="2"/>
  <c r="O10" i="2"/>
  <c r="U10" i="2"/>
  <c r="W10" i="2"/>
  <c r="Y10" i="2"/>
  <c r="A11" i="2"/>
  <c r="B11" i="2" s="1"/>
  <c r="C11" i="2"/>
  <c r="D11" i="2" s="1"/>
  <c r="E11" i="2"/>
  <c r="G11" i="2"/>
  <c r="I11" i="2"/>
  <c r="K11" i="2"/>
  <c r="M11" i="2"/>
  <c r="O11" i="2"/>
  <c r="U11" i="2"/>
  <c r="W11" i="2"/>
  <c r="Y11" i="2"/>
  <c r="A12" i="2"/>
  <c r="B12" i="2" s="1"/>
  <c r="C12" i="2"/>
  <c r="D12" i="2" s="1"/>
  <c r="E12" i="2"/>
  <c r="G12" i="2"/>
  <c r="J12" i="2" s="1"/>
  <c r="I12" i="2"/>
  <c r="K12" i="2"/>
  <c r="N12" i="2" s="1"/>
  <c r="M12" i="2"/>
  <c r="O12" i="2"/>
  <c r="U12" i="2"/>
  <c r="W12" i="2"/>
  <c r="Y12" i="2"/>
  <c r="A13" i="2"/>
  <c r="B13" i="2" s="1"/>
  <c r="C13" i="2"/>
  <c r="E13" i="2"/>
  <c r="F13" i="2" s="1"/>
  <c r="G13" i="2"/>
  <c r="J13" i="2" s="1"/>
  <c r="I13" i="2"/>
  <c r="L13" i="2" s="1"/>
  <c r="K13" i="2"/>
  <c r="N13" i="2" s="1"/>
  <c r="M13" i="2"/>
  <c r="O13" i="2"/>
  <c r="U13" i="2"/>
  <c r="W13" i="2"/>
  <c r="Y13" i="2"/>
  <c r="A14" i="2"/>
  <c r="B14" i="2" s="1"/>
  <c r="C14" i="2"/>
  <c r="E14" i="2"/>
  <c r="G14" i="2"/>
  <c r="I14" i="2"/>
  <c r="L14" i="2" s="1"/>
  <c r="K14" i="2"/>
  <c r="N14" i="2" s="1"/>
  <c r="M14" i="2"/>
  <c r="O14" i="2"/>
  <c r="U14" i="2"/>
  <c r="W14" i="2"/>
  <c r="Y14" i="2"/>
  <c r="A15" i="2"/>
  <c r="B15" i="2" s="1"/>
  <c r="C15" i="2"/>
  <c r="D15" i="2" s="1"/>
  <c r="E15" i="2"/>
  <c r="F15" i="2" s="1"/>
  <c r="G15" i="2"/>
  <c r="J15" i="2" s="1"/>
  <c r="I15" i="2"/>
  <c r="L15" i="2" s="1"/>
  <c r="K15" i="2"/>
  <c r="M15" i="2"/>
  <c r="O15" i="2"/>
  <c r="U15" i="2"/>
  <c r="W15" i="2"/>
  <c r="Y15" i="2"/>
  <c r="A16" i="2"/>
  <c r="B16" i="2" s="1"/>
  <c r="C16" i="2"/>
  <c r="E16" i="2"/>
  <c r="F16" i="2" s="1"/>
  <c r="G16" i="2"/>
  <c r="J16" i="2" s="1"/>
  <c r="I16" i="2"/>
  <c r="L16" i="2" s="1"/>
  <c r="K16" i="2"/>
  <c r="N16" i="2" s="1"/>
  <c r="M16" i="2"/>
  <c r="O16" i="2"/>
  <c r="U16" i="2"/>
  <c r="W16" i="2"/>
  <c r="Y16" i="2"/>
  <c r="A17" i="2"/>
  <c r="B17" i="2" s="1"/>
  <c r="C17" i="2"/>
  <c r="D17" i="2" s="1"/>
  <c r="E17" i="2"/>
  <c r="G17" i="2"/>
  <c r="I17" i="2"/>
  <c r="L17" i="2" s="1"/>
  <c r="K17" i="2"/>
  <c r="N17" i="2" s="1"/>
  <c r="M17" i="2"/>
  <c r="O17" i="2"/>
  <c r="U17" i="2"/>
  <c r="W17" i="2"/>
  <c r="Y17" i="2"/>
  <c r="A18" i="2"/>
  <c r="B18" i="2" s="1"/>
  <c r="C18" i="2"/>
  <c r="D18" i="2" s="1"/>
  <c r="E18" i="2"/>
  <c r="G18" i="2"/>
  <c r="J18" i="2" s="1"/>
  <c r="I18" i="2"/>
  <c r="L18" i="2" s="1"/>
  <c r="K18" i="2"/>
  <c r="N18" i="2" s="1"/>
  <c r="M18" i="2"/>
  <c r="O18" i="2"/>
  <c r="U18" i="2"/>
  <c r="W18" i="2"/>
  <c r="Y18" i="2"/>
  <c r="A19" i="2"/>
  <c r="C19" i="2"/>
  <c r="D19" i="2" s="1"/>
  <c r="E19" i="2"/>
  <c r="G19" i="2"/>
  <c r="J19" i="2" s="1"/>
  <c r="I19" i="2"/>
  <c r="L19" i="2" s="1"/>
  <c r="K19" i="2"/>
  <c r="N19" i="2" s="1"/>
  <c r="M19" i="2"/>
  <c r="O19" i="2"/>
  <c r="U19" i="2"/>
  <c r="W19" i="2"/>
  <c r="Y19" i="2"/>
  <c r="A20" i="2"/>
  <c r="C20" i="2"/>
  <c r="E20" i="2"/>
  <c r="G20" i="2"/>
  <c r="J20" i="2" s="1"/>
  <c r="I20" i="2"/>
  <c r="K20" i="2"/>
  <c r="N20" i="2" s="1"/>
  <c r="M20" i="2"/>
  <c r="O20" i="2"/>
  <c r="U20" i="2"/>
  <c r="W20" i="2"/>
  <c r="Y20" i="2"/>
  <c r="A21" i="2"/>
  <c r="C21" i="2"/>
  <c r="D21" i="2" s="1"/>
  <c r="E21" i="2"/>
  <c r="F21" i="2" s="1"/>
  <c r="G21" i="2"/>
  <c r="J21" i="2" s="1"/>
  <c r="I21" i="2"/>
  <c r="K21" i="2"/>
  <c r="M21" i="2"/>
  <c r="O21" i="2"/>
  <c r="U21" i="2"/>
  <c r="W21" i="2"/>
  <c r="Y21" i="2"/>
  <c r="A22" i="2"/>
  <c r="B22" i="2" s="1"/>
  <c r="C22" i="2"/>
  <c r="D22" i="2" s="1"/>
  <c r="E22" i="2"/>
  <c r="G22" i="2"/>
  <c r="J22" i="2" s="1"/>
  <c r="I22" i="2"/>
  <c r="L22" i="2" s="1"/>
  <c r="K22" i="2"/>
  <c r="N22" i="2" s="1"/>
  <c r="M22" i="2"/>
  <c r="O22" i="2"/>
  <c r="U22" i="2"/>
  <c r="W22" i="2"/>
  <c r="Y22" i="2"/>
  <c r="A23" i="2"/>
  <c r="B23" i="2" s="1"/>
  <c r="C23" i="2"/>
  <c r="D23" i="2" s="1"/>
  <c r="E23" i="2"/>
  <c r="G23" i="2"/>
  <c r="J23" i="2" s="1"/>
  <c r="I23" i="2"/>
  <c r="L23" i="2" s="1"/>
  <c r="K23" i="2"/>
  <c r="M23" i="2"/>
  <c r="O23" i="2"/>
  <c r="U23" i="2"/>
  <c r="W23" i="2"/>
  <c r="Y23" i="2"/>
  <c r="A24" i="2"/>
  <c r="B24" i="2" s="1"/>
  <c r="C24" i="2"/>
  <c r="E24" i="2"/>
  <c r="G24" i="2"/>
  <c r="J24" i="2" s="1"/>
  <c r="I24" i="2"/>
  <c r="L24" i="2" s="1"/>
  <c r="K24" i="2"/>
  <c r="M24" i="2"/>
  <c r="O24" i="2"/>
  <c r="U24" i="2"/>
  <c r="W24" i="2"/>
  <c r="Y24" i="2"/>
  <c r="A25" i="2"/>
  <c r="B25" i="2" s="1"/>
  <c r="C25" i="2"/>
  <c r="D25" i="2" s="1"/>
  <c r="E25" i="2"/>
  <c r="G25" i="2"/>
  <c r="I25" i="2"/>
  <c r="L25" i="2" s="1"/>
  <c r="K25" i="2"/>
  <c r="N25" i="2" s="1"/>
  <c r="M25" i="2"/>
  <c r="O25" i="2"/>
  <c r="U25" i="2"/>
  <c r="W25" i="2"/>
  <c r="Y25" i="2"/>
  <c r="A26" i="2"/>
  <c r="C26" i="2"/>
  <c r="D26" i="2" s="1"/>
  <c r="E26" i="2"/>
  <c r="G26" i="2"/>
  <c r="J26" i="2" s="1"/>
  <c r="I26" i="2"/>
  <c r="L26" i="2" s="1"/>
  <c r="K26" i="2"/>
  <c r="N26" i="2" s="1"/>
  <c r="M26" i="2"/>
  <c r="O26" i="2"/>
  <c r="U26" i="2"/>
  <c r="W26" i="2"/>
  <c r="Y26" i="2"/>
  <c r="A27" i="2"/>
  <c r="B27" i="2" s="1"/>
  <c r="C27" i="2"/>
  <c r="D27" i="2" s="1"/>
  <c r="E27" i="2"/>
  <c r="G27" i="2"/>
  <c r="I27" i="2"/>
  <c r="K27" i="2"/>
  <c r="M27" i="2"/>
  <c r="O27" i="2"/>
  <c r="U27" i="2"/>
  <c r="W27" i="2"/>
  <c r="Y27" i="2"/>
  <c r="A28" i="2"/>
  <c r="B28" i="2" s="1"/>
  <c r="C28" i="2"/>
  <c r="D28" i="2" s="1"/>
  <c r="E28" i="2"/>
  <c r="G28" i="2"/>
  <c r="J28" i="2" s="1"/>
  <c r="I28" i="2"/>
  <c r="K28" i="2"/>
  <c r="N28" i="2" s="1"/>
  <c r="M28" i="2"/>
  <c r="O28" i="2"/>
  <c r="U28" i="2"/>
  <c r="W28" i="2"/>
  <c r="Y28" i="2"/>
  <c r="A29" i="2"/>
  <c r="B29" i="2" s="1"/>
  <c r="C29" i="2"/>
  <c r="E29" i="2"/>
  <c r="F29" i="2" s="1"/>
  <c r="G29" i="2"/>
  <c r="J29" i="2" s="1"/>
  <c r="I29" i="2"/>
  <c r="L29" i="2" s="1"/>
  <c r="K29" i="2"/>
  <c r="N29" i="2" s="1"/>
  <c r="M29" i="2"/>
  <c r="O29" i="2"/>
  <c r="U29" i="2"/>
  <c r="W29" i="2"/>
  <c r="Y29" i="2"/>
  <c r="A30" i="2"/>
  <c r="B30" i="2" s="1"/>
  <c r="C30" i="2"/>
  <c r="E30" i="2"/>
  <c r="G30" i="2"/>
  <c r="J30" i="2" s="1"/>
  <c r="I30" i="2"/>
  <c r="L30" i="2" s="1"/>
  <c r="K30" i="2"/>
  <c r="N30" i="2" s="1"/>
  <c r="M30" i="2"/>
  <c r="O30" i="2"/>
  <c r="U30" i="2"/>
  <c r="W30" i="2"/>
  <c r="Y30" i="2"/>
  <c r="A31" i="2"/>
  <c r="B31" i="2" s="1"/>
  <c r="C31" i="2"/>
  <c r="D31" i="2" s="1"/>
  <c r="E31" i="2"/>
  <c r="F31" i="2" s="1"/>
  <c r="G31" i="2"/>
  <c r="J31" i="2" s="1"/>
  <c r="I31" i="2"/>
  <c r="L31" i="2" s="1"/>
  <c r="K31" i="2"/>
  <c r="M31" i="2"/>
  <c r="O31" i="2"/>
  <c r="U31" i="2"/>
  <c r="W31" i="2"/>
  <c r="Y31" i="2"/>
  <c r="A32" i="2"/>
  <c r="B32" i="2" s="1"/>
  <c r="C32" i="2"/>
  <c r="E32" i="2"/>
  <c r="F32" i="2" s="1"/>
  <c r="G32" i="2"/>
  <c r="J32" i="2" s="1"/>
  <c r="I32" i="2"/>
  <c r="L32" i="2" s="1"/>
  <c r="K32" i="2"/>
  <c r="N32" i="2" s="1"/>
  <c r="M32" i="2"/>
  <c r="O32" i="2"/>
  <c r="U32" i="2"/>
  <c r="W32" i="2"/>
  <c r="Y32" i="2"/>
  <c r="A33" i="2"/>
  <c r="B33" i="2" s="1"/>
  <c r="C33" i="2"/>
  <c r="E33" i="2"/>
  <c r="G33" i="2"/>
  <c r="I33" i="2"/>
  <c r="L33" i="2" s="1"/>
  <c r="K33" i="2"/>
  <c r="N33" i="2" s="1"/>
  <c r="M33" i="2"/>
  <c r="O33" i="2"/>
  <c r="U33" i="2"/>
  <c r="W33" i="2"/>
  <c r="Y33" i="2"/>
  <c r="A34" i="2"/>
  <c r="B34" i="2" s="1"/>
  <c r="C34" i="2"/>
  <c r="D34" i="2" s="1"/>
  <c r="E34" i="2"/>
  <c r="G34" i="2"/>
  <c r="J34" i="2" s="1"/>
  <c r="I34" i="2"/>
  <c r="L34" i="2" s="1"/>
  <c r="K34" i="2"/>
  <c r="M34" i="2"/>
  <c r="O34" i="2"/>
  <c r="U34" i="2"/>
  <c r="W34" i="2"/>
  <c r="Y34" i="2"/>
  <c r="A35" i="2"/>
  <c r="C35" i="2"/>
  <c r="D35" i="2" s="1"/>
  <c r="E35" i="2"/>
  <c r="G35" i="2"/>
  <c r="J35" i="2" s="1"/>
  <c r="I35" i="2"/>
  <c r="L35" i="2" s="1"/>
  <c r="K35" i="2"/>
  <c r="N35" i="2" s="1"/>
  <c r="M35" i="2"/>
  <c r="O35" i="2"/>
  <c r="U35" i="2"/>
  <c r="W35" i="2"/>
  <c r="Y35" i="2"/>
  <c r="A36" i="2"/>
  <c r="C36" i="2"/>
  <c r="E36" i="2"/>
  <c r="G36" i="2"/>
  <c r="J36" i="2" s="1"/>
  <c r="I36" i="2"/>
  <c r="K36" i="2"/>
  <c r="N36" i="2" s="1"/>
  <c r="M36" i="2"/>
  <c r="O36" i="2"/>
  <c r="U36" i="2"/>
  <c r="W36" i="2"/>
  <c r="Y36" i="2"/>
  <c r="A37" i="2"/>
  <c r="C37" i="2"/>
  <c r="D37" i="2" s="1"/>
  <c r="E37" i="2"/>
  <c r="F37" i="2" s="1"/>
  <c r="G37" i="2"/>
  <c r="J37" i="2" s="1"/>
  <c r="I37" i="2"/>
  <c r="K37" i="2"/>
  <c r="M37" i="2"/>
  <c r="O37" i="2"/>
  <c r="U37" i="2"/>
  <c r="W37" i="2"/>
  <c r="Y37" i="2"/>
  <c r="A38" i="2"/>
  <c r="B38" i="2" s="1"/>
  <c r="C38" i="2"/>
  <c r="D38" i="2" s="1"/>
  <c r="E38" i="2"/>
  <c r="G38" i="2"/>
  <c r="J38" i="2" s="1"/>
  <c r="I38" i="2"/>
  <c r="L38" i="2" s="1"/>
  <c r="K38" i="2"/>
  <c r="N38" i="2" s="1"/>
  <c r="M38" i="2"/>
  <c r="O38" i="2"/>
  <c r="U38" i="2"/>
  <c r="W38" i="2"/>
  <c r="Y38" i="2"/>
  <c r="A39" i="2"/>
  <c r="B39" i="2" s="1"/>
  <c r="C39" i="2"/>
  <c r="E39" i="2"/>
  <c r="G39" i="2"/>
  <c r="J39" i="2" s="1"/>
  <c r="I39" i="2"/>
  <c r="L39" i="2" s="1"/>
  <c r="K39" i="2"/>
  <c r="M39" i="2"/>
  <c r="O39" i="2"/>
  <c r="U39" i="2"/>
  <c r="W39" i="2"/>
  <c r="Y39" i="2"/>
  <c r="A40" i="2"/>
  <c r="B40" i="2" s="1"/>
  <c r="C40" i="2"/>
  <c r="E40" i="2"/>
  <c r="G40" i="2"/>
  <c r="J40" i="2" s="1"/>
  <c r="I40" i="2"/>
  <c r="K40" i="2"/>
  <c r="M40" i="2"/>
  <c r="O40" i="2"/>
  <c r="U40" i="2"/>
  <c r="W40" i="2"/>
  <c r="Y40" i="2"/>
  <c r="A41" i="2"/>
  <c r="B41" i="2" s="1"/>
  <c r="C41" i="2"/>
  <c r="D41" i="2" s="1"/>
  <c r="E41" i="2"/>
  <c r="G41" i="2"/>
  <c r="I41" i="2"/>
  <c r="L41" i="2" s="1"/>
  <c r="K41" i="2"/>
  <c r="N41" i="2" s="1"/>
  <c r="M41" i="2"/>
  <c r="O41" i="2"/>
  <c r="U41" i="2"/>
  <c r="W41" i="2"/>
  <c r="Y41" i="2"/>
  <c r="A42" i="2"/>
  <c r="C42" i="2"/>
  <c r="D42" i="2" s="1"/>
  <c r="E42" i="2"/>
  <c r="G42" i="2"/>
  <c r="J42" i="2" s="1"/>
  <c r="I42" i="2"/>
  <c r="L42" i="2" s="1"/>
  <c r="K42" i="2"/>
  <c r="N42" i="2" s="1"/>
  <c r="M42" i="2"/>
  <c r="O42" i="2"/>
  <c r="U42" i="2"/>
  <c r="W42" i="2"/>
  <c r="Y42" i="2"/>
  <c r="A43" i="2"/>
  <c r="B43" i="2" s="1"/>
  <c r="C43" i="2"/>
  <c r="D43" i="2" s="1"/>
  <c r="E43" i="2"/>
  <c r="G43" i="2"/>
  <c r="I43" i="2"/>
  <c r="K43" i="2"/>
  <c r="M43" i="2"/>
  <c r="O43" i="2"/>
  <c r="U43" i="2"/>
  <c r="W43" i="2"/>
  <c r="Y43" i="2"/>
  <c r="A44" i="2"/>
  <c r="B44" i="2" s="1"/>
  <c r="C44" i="2"/>
  <c r="D44" i="2" s="1"/>
  <c r="E44" i="2"/>
  <c r="G44" i="2"/>
  <c r="I44" i="2"/>
  <c r="K44" i="2"/>
  <c r="N44" i="2" s="1"/>
  <c r="M44" i="2"/>
  <c r="O44" i="2"/>
  <c r="U44" i="2"/>
  <c r="W44" i="2"/>
  <c r="Y44" i="2"/>
  <c r="A45" i="2"/>
  <c r="B45" i="2" s="1"/>
  <c r="C45" i="2"/>
  <c r="E45" i="2"/>
  <c r="G45" i="2"/>
  <c r="I45" i="2"/>
  <c r="L45" i="2" s="1"/>
  <c r="K45" i="2"/>
  <c r="N45" i="2" s="1"/>
  <c r="M45" i="2"/>
  <c r="O45" i="2"/>
  <c r="U45" i="2"/>
  <c r="W45" i="2"/>
  <c r="Y45" i="2"/>
  <c r="A46" i="2"/>
  <c r="B46" i="2" s="1"/>
  <c r="C46" i="2"/>
  <c r="E46" i="2"/>
  <c r="G46" i="2"/>
  <c r="I46" i="2"/>
  <c r="K46" i="2"/>
  <c r="N46" i="2" s="1"/>
  <c r="M46" i="2"/>
  <c r="O46" i="2"/>
  <c r="U46" i="2"/>
  <c r="W46" i="2"/>
  <c r="Y46" i="2"/>
  <c r="A47" i="2"/>
  <c r="B47" i="2" s="1"/>
  <c r="C47" i="2"/>
  <c r="D47" i="2" s="1"/>
  <c r="E47" i="2"/>
  <c r="G47" i="2"/>
  <c r="J47" i="2" s="1"/>
  <c r="I47" i="2"/>
  <c r="K47" i="2"/>
  <c r="M47" i="2"/>
  <c r="O47" i="2"/>
  <c r="U47" i="2"/>
  <c r="W47" i="2"/>
  <c r="Y47" i="2"/>
  <c r="A48" i="2"/>
  <c r="C48" i="2"/>
  <c r="E48" i="2"/>
  <c r="G48" i="2"/>
  <c r="J48" i="2" s="1"/>
  <c r="I48" i="2"/>
  <c r="L48" i="2" s="1"/>
  <c r="K48" i="2"/>
  <c r="N48" i="2" s="1"/>
  <c r="M48" i="2"/>
  <c r="O48" i="2"/>
  <c r="U48" i="2"/>
  <c r="W48" i="2"/>
  <c r="Y48" i="2"/>
  <c r="A49" i="2"/>
  <c r="C49" i="2"/>
  <c r="E49" i="2"/>
  <c r="G49" i="2"/>
  <c r="I49" i="2"/>
  <c r="K49" i="2"/>
  <c r="N49" i="2" s="1"/>
  <c r="M49" i="2"/>
  <c r="O49" i="2"/>
  <c r="U49" i="2"/>
  <c r="W49" i="2"/>
  <c r="Y49" i="2"/>
  <c r="A50" i="2"/>
  <c r="C50" i="2"/>
  <c r="D50" i="2" s="1"/>
  <c r="E50" i="2"/>
  <c r="F50" i="2" s="1"/>
  <c r="G50" i="2"/>
  <c r="J50" i="2" s="1"/>
  <c r="I50" i="2"/>
  <c r="K50" i="2"/>
  <c r="M50" i="2"/>
  <c r="O50" i="2"/>
  <c r="U50" i="2"/>
  <c r="W50" i="2"/>
  <c r="Y50" i="2"/>
  <c r="A51" i="2"/>
  <c r="C51" i="2"/>
  <c r="E51" i="2"/>
  <c r="G51" i="2"/>
  <c r="I51" i="2"/>
  <c r="L51" i="2" s="1"/>
  <c r="K51" i="2"/>
  <c r="N51" i="2" s="1"/>
  <c r="M51" i="2"/>
  <c r="O51" i="2"/>
  <c r="U51" i="2"/>
  <c r="W51" i="2"/>
  <c r="Y51" i="2"/>
  <c r="A52" i="2"/>
  <c r="B52" i="2" s="1"/>
  <c r="C52" i="2"/>
  <c r="D52" i="2" s="1"/>
  <c r="E52" i="2"/>
  <c r="G52" i="2"/>
  <c r="I52" i="2"/>
  <c r="K52" i="2"/>
  <c r="N52" i="2" s="1"/>
  <c r="M52" i="2"/>
  <c r="O52" i="2"/>
  <c r="U52" i="2"/>
  <c r="W52" i="2"/>
  <c r="Y52" i="2"/>
  <c r="A53" i="2"/>
  <c r="C53" i="2"/>
  <c r="D53" i="2" s="1"/>
  <c r="E53" i="2"/>
  <c r="G53" i="2"/>
  <c r="J53" i="2" s="1"/>
  <c r="I53" i="2"/>
  <c r="K53" i="2"/>
  <c r="M53" i="2"/>
  <c r="O53" i="2"/>
  <c r="U53" i="2"/>
  <c r="W53" i="2"/>
  <c r="Y53" i="2"/>
  <c r="A54" i="2"/>
  <c r="B54" i="2" s="1"/>
  <c r="C54" i="2"/>
  <c r="D54" i="2" s="1"/>
  <c r="E54" i="2"/>
  <c r="G54" i="2"/>
  <c r="I54" i="2"/>
  <c r="K54" i="2"/>
  <c r="M54" i="2"/>
  <c r="O54" i="2"/>
  <c r="U54" i="2"/>
  <c r="W54" i="2"/>
  <c r="Y54" i="2"/>
  <c r="A55" i="2"/>
  <c r="C55" i="2"/>
  <c r="E55" i="2"/>
  <c r="G55" i="2"/>
  <c r="J55" i="2" s="1"/>
  <c r="I55" i="2"/>
  <c r="L55" i="2" s="1"/>
  <c r="K55" i="2"/>
  <c r="N55" i="2" s="1"/>
  <c r="M55" i="2"/>
  <c r="O55" i="2"/>
  <c r="U55" i="2"/>
  <c r="W55" i="2"/>
  <c r="Y55" i="2"/>
  <c r="A56" i="2"/>
  <c r="B56" i="2" s="1"/>
  <c r="C56" i="2"/>
  <c r="D56" i="2" s="1"/>
  <c r="E56" i="2"/>
  <c r="G56" i="2"/>
  <c r="I56" i="2"/>
  <c r="K56" i="2"/>
  <c r="M56" i="2"/>
  <c r="O56" i="2"/>
  <c r="U56" i="2"/>
  <c r="W56" i="2"/>
  <c r="Y56" i="2"/>
  <c r="A57" i="2"/>
  <c r="C57" i="2"/>
  <c r="E57" i="2"/>
  <c r="G57" i="2"/>
  <c r="J57" i="2" s="1"/>
  <c r="I57" i="2"/>
  <c r="K57" i="2"/>
  <c r="M57" i="2"/>
  <c r="O57" i="2"/>
  <c r="U57" i="2"/>
  <c r="W57" i="2"/>
  <c r="Y57" i="2"/>
  <c r="A58" i="2"/>
  <c r="C58" i="2"/>
  <c r="E58" i="2"/>
  <c r="G58" i="2"/>
  <c r="I58" i="2"/>
  <c r="L58" i="2" s="1"/>
  <c r="K58" i="2"/>
  <c r="M58" i="2"/>
  <c r="O58" i="2"/>
  <c r="U58" i="2"/>
  <c r="W58" i="2"/>
  <c r="Y58" i="2"/>
  <c r="A59" i="2"/>
  <c r="C59" i="2"/>
  <c r="D59" i="2" s="1"/>
  <c r="E59" i="2"/>
  <c r="G59" i="2"/>
  <c r="I59" i="2"/>
  <c r="K59" i="2"/>
  <c r="M59" i="2"/>
  <c r="O59" i="2"/>
  <c r="U59" i="2"/>
  <c r="W59" i="2"/>
  <c r="Y59" i="2"/>
  <c r="A60" i="2"/>
  <c r="C60" i="2"/>
  <c r="E60" i="2"/>
  <c r="G60" i="2"/>
  <c r="J60" i="2" s="1"/>
  <c r="I60" i="2"/>
  <c r="L60" i="2" s="1"/>
  <c r="K60" i="2"/>
  <c r="M60" i="2"/>
  <c r="O60" i="2"/>
  <c r="U60" i="2"/>
  <c r="W60" i="2"/>
  <c r="Y60" i="2"/>
  <c r="A61" i="2"/>
  <c r="B61" i="2" s="1"/>
  <c r="C61" i="2"/>
  <c r="E61" i="2"/>
  <c r="G61" i="2"/>
  <c r="I61" i="2"/>
  <c r="K61" i="2"/>
  <c r="M61" i="2"/>
  <c r="O61" i="2"/>
  <c r="U61" i="2"/>
  <c r="W61" i="2"/>
  <c r="Y61" i="2"/>
  <c r="A62" i="2"/>
  <c r="C62" i="2"/>
  <c r="E62" i="2"/>
  <c r="G62" i="2"/>
  <c r="I62" i="2"/>
  <c r="K62" i="2"/>
  <c r="N62" i="2" s="1"/>
  <c r="M62" i="2"/>
  <c r="O62" i="2"/>
  <c r="U62" i="2"/>
  <c r="W62" i="2"/>
  <c r="Y62" i="2"/>
  <c r="A63" i="2"/>
  <c r="B63" i="2" s="1"/>
  <c r="C63" i="2"/>
  <c r="D63" i="2" s="1"/>
  <c r="E63" i="2"/>
  <c r="G63" i="2"/>
  <c r="I63" i="2"/>
  <c r="K63" i="2"/>
  <c r="M63" i="2"/>
  <c r="O63" i="2"/>
  <c r="U63" i="2"/>
  <c r="W63" i="2"/>
  <c r="Y63" i="2"/>
  <c r="A64" i="2"/>
  <c r="C64" i="2"/>
  <c r="E64" i="2"/>
  <c r="G64" i="2"/>
  <c r="I64" i="2"/>
  <c r="L64" i="2" s="1"/>
  <c r="K64" i="2"/>
  <c r="M64" i="2"/>
  <c r="O64" i="2"/>
  <c r="U64" i="2"/>
  <c r="W64" i="2"/>
  <c r="Y64" i="2"/>
  <c r="A65" i="2"/>
  <c r="C65" i="2"/>
  <c r="E65" i="2"/>
  <c r="G65" i="2"/>
  <c r="I65" i="2"/>
  <c r="K65" i="2"/>
  <c r="M65" i="2"/>
  <c r="O65" i="2"/>
  <c r="U65" i="2"/>
  <c r="W65" i="2"/>
  <c r="Y65" i="2"/>
  <c r="A66" i="2"/>
  <c r="C66" i="2"/>
  <c r="E66" i="2"/>
  <c r="G66" i="2"/>
  <c r="J66" i="2" s="1"/>
  <c r="I66" i="2"/>
  <c r="L66" i="2" s="1"/>
  <c r="K66" i="2"/>
  <c r="M66" i="2"/>
  <c r="O66" i="2"/>
  <c r="U66" i="2"/>
  <c r="W66" i="2"/>
  <c r="Y66" i="2"/>
  <c r="A67" i="2"/>
  <c r="B67" i="2" s="1"/>
  <c r="C67" i="2"/>
  <c r="E67" i="2"/>
  <c r="G67" i="2"/>
  <c r="I67" i="2"/>
  <c r="K67" i="2"/>
  <c r="N67" i="2" s="1"/>
  <c r="M67" i="2"/>
  <c r="O67" i="2"/>
  <c r="U67" i="2"/>
  <c r="W67" i="2"/>
  <c r="Y67" i="2"/>
  <c r="A68" i="2"/>
  <c r="C68" i="2"/>
  <c r="E68" i="2"/>
  <c r="G68" i="2"/>
  <c r="I68" i="2"/>
  <c r="L68" i="2" s="1"/>
  <c r="K68" i="2"/>
  <c r="M68" i="2"/>
  <c r="O68" i="2"/>
  <c r="U68" i="2"/>
  <c r="W68" i="2"/>
  <c r="Y68" i="2"/>
  <c r="A69" i="2"/>
  <c r="B69" i="2" s="1"/>
  <c r="C69" i="2"/>
  <c r="E69" i="2"/>
  <c r="G69" i="2"/>
  <c r="I69" i="2"/>
  <c r="K69" i="2"/>
  <c r="N69" i="2" s="1"/>
  <c r="M69" i="2"/>
  <c r="O69" i="2"/>
  <c r="U69" i="2"/>
  <c r="W69" i="2"/>
  <c r="Y69" i="2"/>
  <c r="A70" i="2"/>
  <c r="C70" i="2"/>
  <c r="E70" i="2"/>
  <c r="G70" i="2"/>
  <c r="J70" i="2" s="1"/>
  <c r="I70" i="2"/>
  <c r="L70" i="2" s="1"/>
  <c r="K70" i="2"/>
  <c r="M70" i="2"/>
  <c r="O70" i="2"/>
  <c r="U70" i="2"/>
  <c r="W70" i="2"/>
  <c r="Y70" i="2"/>
  <c r="A71" i="2"/>
  <c r="C71" i="2"/>
  <c r="E71" i="2"/>
  <c r="G71" i="2"/>
  <c r="I71" i="2"/>
  <c r="K71" i="2"/>
  <c r="N71" i="2" s="1"/>
  <c r="M71" i="2"/>
  <c r="O71" i="2"/>
  <c r="U71" i="2"/>
  <c r="W71" i="2"/>
  <c r="Y71" i="2"/>
  <c r="A72" i="2"/>
  <c r="C72" i="2"/>
  <c r="E72" i="2"/>
  <c r="G72" i="2"/>
  <c r="J72" i="2" s="1"/>
  <c r="I72" i="2"/>
  <c r="K72" i="2"/>
  <c r="M72" i="2"/>
  <c r="O72" i="2"/>
  <c r="U72" i="2"/>
  <c r="W72" i="2"/>
  <c r="Y72" i="2"/>
  <c r="A73" i="2"/>
  <c r="C73" i="2"/>
  <c r="E73" i="2"/>
  <c r="G73" i="2"/>
  <c r="I73" i="2"/>
  <c r="K73" i="2"/>
  <c r="M73" i="2"/>
  <c r="O73" i="2"/>
  <c r="U73" i="2"/>
  <c r="W73" i="2"/>
  <c r="Y73" i="2"/>
  <c r="A74" i="2"/>
  <c r="C74" i="2"/>
  <c r="E74" i="2"/>
  <c r="G74" i="2"/>
  <c r="J74" i="2" s="1"/>
  <c r="I74" i="2"/>
  <c r="K74" i="2"/>
  <c r="M74" i="2"/>
  <c r="O74" i="2"/>
  <c r="U74" i="2"/>
  <c r="W74" i="2"/>
  <c r="Y74" i="2"/>
  <c r="A75" i="2"/>
  <c r="B75" i="2" s="1"/>
  <c r="C75" i="2"/>
  <c r="E75" i="2"/>
  <c r="G75" i="2"/>
  <c r="I75" i="2"/>
  <c r="K75" i="2"/>
  <c r="M75" i="2"/>
  <c r="O75" i="2"/>
  <c r="U75" i="2"/>
  <c r="W75" i="2"/>
  <c r="Y75" i="2"/>
  <c r="A76" i="2"/>
  <c r="C76" i="2"/>
  <c r="D76" i="2" s="1"/>
  <c r="E76" i="2"/>
  <c r="G76" i="2"/>
  <c r="I76" i="2"/>
  <c r="K76" i="2"/>
  <c r="M76" i="2"/>
  <c r="O76" i="2"/>
  <c r="U76" i="2"/>
  <c r="W76" i="2"/>
  <c r="Y76" i="2"/>
  <c r="A77" i="2"/>
  <c r="C77" i="2"/>
  <c r="E77" i="2"/>
  <c r="G77" i="2"/>
  <c r="I77" i="2"/>
  <c r="K77" i="2"/>
  <c r="M77" i="2"/>
  <c r="O77" i="2"/>
  <c r="U77" i="2"/>
  <c r="W77" i="2"/>
  <c r="Y77" i="2"/>
  <c r="A78" i="2"/>
  <c r="C78" i="2"/>
  <c r="E78" i="2"/>
  <c r="G78" i="2"/>
  <c r="I78" i="2"/>
  <c r="K78" i="2"/>
  <c r="M78" i="2"/>
  <c r="O78" i="2"/>
  <c r="U78" i="2"/>
  <c r="W78" i="2"/>
  <c r="Y78" i="2"/>
  <c r="A79" i="2"/>
  <c r="C79" i="2"/>
  <c r="E79" i="2"/>
  <c r="G79" i="2"/>
  <c r="I79" i="2"/>
  <c r="K79" i="2"/>
  <c r="M79" i="2"/>
  <c r="O79" i="2"/>
  <c r="U79" i="2"/>
  <c r="W79" i="2"/>
  <c r="Y79" i="2"/>
  <c r="A80" i="2"/>
  <c r="C80" i="2"/>
  <c r="D80" i="2" s="1"/>
  <c r="E80" i="2"/>
  <c r="G80" i="2"/>
  <c r="I80" i="2"/>
  <c r="K80" i="2"/>
  <c r="M80" i="2"/>
  <c r="O80" i="2"/>
  <c r="U80" i="2"/>
  <c r="W80" i="2"/>
  <c r="Y80" i="2"/>
  <c r="A81" i="2"/>
  <c r="C81" i="2"/>
  <c r="E81" i="2"/>
  <c r="G81" i="2"/>
  <c r="I81" i="2"/>
  <c r="K81" i="2"/>
  <c r="N81" i="2" s="1"/>
  <c r="M81" i="2"/>
  <c r="O81" i="2"/>
  <c r="U81" i="2"/>
  <c r="W81" i="2"/>
  <c r="Y81" i="2"/>
  <c r="A82" i="2"/>
  <c r="C82" i="2"/>
  <c r="D82" i="2" s="1"/>
  <c r="E82" i="2"/>
  <c r="G82" i="2"/>
  <c r="I82" i="2"/>
  <c r="K82" i="2"/>
  <c r="M82" i="2"/>
  <c r="O82" i="2"/>
  <c r="U82" i="2"/>
  <c r="W82" i="2"/>
  <c r="Y82" i="2"/>
  <c r="A83" i="2"/>
  <c r="C83" i="2"/>
  <c r="E83" i="2"/>
  <c r="G83" i="2"/>
  <c r="I83" i="2"/>
  <c r="K83" i="2"/>
  <c r="M83" i="2"/>
  <c r="O83" i="2"/>
  <c r="U83" i="2"/>
  <c r="W83" i="2"/>
  <c r="Y83" i="2"/>
  <c r="A84" i="2"/>
  <c r="C84" i="2"/>
  <c r="E84" i="2"/>
  <c r="G84" i="2"/>
  <c r="I84" i="2"/>
  <c r="K84" i="2"/>
  <c r="M84" i="2"/>
  <c r="O84" i="2"/>
  <c r="U84" i="2"/>
  <c r="W84" i="2"/>
  <c r="Y84" i="2"/>
  <c r="A85" i="2"/>
  <c r="C85" i="2"/>
  <c r="E85" i="2"/>
  <c r="G85" i="2"/>
  <c r="I85" i="2"/>
  <c r="K85" i="2"/>
  <c r="N85" i="2" s="1"/>
  <c r="M85" i="2"/>
  <c r="O85" i="2"/>
  <c r="U85" i="2"/>
  <c r="W85" i="2"/>
  <c r="Y85" i="2"/>
  <c r="A86" i="2"/>
  <c r="C86" i="2"/>
  <c r="E86" i="2"/>
  <c r="G86" i="2"/>
  <c r="I86" i="2"/>
  <c r="K86" i="2"/>
  <c r="M86" i="2"/>
  <c r="O86" i="2"/>
  <c r="U86" i="2"/>
  <c r="W86" i="2"/>
  <c r="Y86" i="2"/>
  <c r="A87" i="2"/>
  <c r="C87" i="2"/>
  <c r="E87" i="2"/>
  <c r="G87" i="2"/>
  <c r="J87" i="2" s="1"/>
  <c r="I87" i="2"/>
  <c r="K87" i="2"/>
  <c r="N87" i="2" s="1"/>
  <c r="M87" i="2"/>
  <c r="O87" i="2"/>
  <c r="U87" i="2"/>
  <c r="W87" i="2"/>
  <c r="Y87" i="2"/>
  <c r="A88" i="2"/>
  <c r="C88" i="2"/>
  <c r="D88" i="2" s="1"/>
  <c r="E88" i="2"/>
  <c r="G88" i="2"/>
  <c r="I88" i="2"/>
  <c r="K88" i="2"/>
  <c r="M88" i="2"/>
  <c r="O88" i="2"/>
  <c r="U88" i="2"/>
  <c r="W88" i="2"/>
  <c r="Y88" i="2"/>
  <c r="A89" i="2"/>
  <c r="C89" i="2"/>
  <c r="E89" i="2"/>
  <c r="G89" i="2"/>
  <c r="I89" i="2"/>
  <c r="L89" i="2" s="1"/>
  <c r="K89" i="2"/>
  <c r="M89" i="2"/>
  <c r="O89" i="2"/>
  <c r="U89" i="2"/>
  <c r="W89" i="2"/>
  <c r="Y89" i="2"/>
  <c r="A90" i="2"/>
  <c r="C90" i="2"/>
  <c r="D90" i="2" s="1"/>
  <c r="E90" i="2"/>
  <c r="G90" i="2"/>
  <c r="I90" i="2"/>
  <c r="K90" i="2"/>
  <c r="M90" i="2"/>
  <c r="O90" i="2"/>
  <c r="U90" i="2"/>
  <c r="W90" i="2"/>
  <c r="Y90" i="2"/>
  <c r="A91" i="2"/>
  <c r="C91" i="2"/>
  <c r="E91" i="2"/>
  <c r="G91" i="2"/>
  <c r="I91" i="2"/>
  <c r="L91" i="2" s="1"/>
  <c r="K91" i="2"/>
  <c r="N91" i="2" s="1"/>
  <c r="M91" i="2"/>
  <c r="O91" i="2"/>
  <c r="U91" i="2"/>
  <c r="W91" i="2"/>
  <c r="Y91" i="2"/>
  <c r="A92" i="2"/>
  <c r="C92" i="2"/>
  <c r="E92" i="2"/>
  <c r="G92" i="2"/>
  <c r="I92" i="2"/>
  <c r="K92" i="2"/>
  <c r="M92" i="2"/>
  <c r="O92" i="2"/>
  <c r="U92" i="2"/>
  <c r="W92" i="2"/>
  <c r="Y92" i="2"/>
  <c r="A93" i="2"/>
  <c r="C93" i="2"/>
  <c r="E93" i="2"/>
  <c r="G93" i="2"/>
  <c r="J93" i="2" s="1"/>
  <c r="I93" i="2"/>
  <c r="K93" i="2"/>
  <c r="M93" i="2"/>
  <c r="O93" i="2"/>
  <c r="U93" i="2"/>
  <c r="W93" i="2"/>
  <c r="Y93" i="2"/>
  <c r="A94" i="2"/>
  <c r="C94" i="2"/>
  <c r="E94" i="2"/>
  <c r="G94" i="2"/>
  <c r="I94" i="2"/>
  <c r="K94" i="2"/>
  <c r="M94" i="2"/>
  <c r="O94" i="2"/>
  <c r="U94" i="2"/>
  <c r="W94" i="2"/>
  <c r="Y94" i="2"/>
  <c r="A95" i="2"/>
  <c r="C95" i="2"/>
  <c r="E95" i="2"/>
  <c r="G95" i="2"/>
  <c r="J95" i="2" s="1"/>
  <c r="I95" i="2"/>
  <c r="K95" i="2"/>
  <c r="M95" i="2"/>
  <c r="O95" i="2"/>
  <c r="U95" i="2"/>
  <c r="W95" i="2"/>
  <c r="Y95" i="2"/>
  <c r="A96" i="2"/>
  <c r="C96" i="2"/>
  <c r="D96" i="2" s="1"/>
  <c r="E96" i="2"/>
  <c r="G96" i="2"/>
  <c r="I96" i="2"/>
  <c r="K96" i="2"/>
  <c r="M96" i="2"/>
  <c r="O96" i="2"/>
  <c r="U96" i="2"/>
  <c r="W96" i="2"/>
  <c r="Y96" i="2"/>
  <c r="A97" i="2"/>
  <c r="C97" i="2"/>
  <c r="E97" i="2"/>
  <c r="G97" i="2"/>
  <c r="I97" i="2"/>
  <c r="L97" i="2" s="1"/>
  <c r="K97" i="2"/>
  <c r="N97" i="2" s="1"/>
  <c r="M97" i="2"/>
  <c r="O97" i="2"/>
  <c r="U97" i="2"/>
  <c r="W97" i="2"/>
  <c r="Y97" i="2"/>
  <c r="A98" i="2"/>
  <c r="B98" i="2" s="1"/>
  <c r="C98" i="2"/>
  <c r="D98" i="2" s="1"/>
  <c r="E98" i="2"/>
  <c r="G98" i="2"/>
  <c r="I98" i="2"/>
  <c r="K98" i="2"/>
  <c r="M98" i="2"/>
  <c r="O98" i="2"/>
  <c r="U98" i="2"/>
  <c r="W98" i="2"/>
  <c r="Y98" i="2"/>
  <c r="A99" i="2"/>
  <c r="C99" i="2"/>
  <c r="E99" i="2"/>
  <c r="G99" i="2"/>
  <c r="I99" i="2"/>
  <c r="K99" i="2"/>
  <c r="M99" i="2"/>
  <c r="O99" i="2"/>
  <c r="U99" i="2"/>
  <c r="W99" i="2"/>
  <c r="Y99" i="2"/>
  <c r="A100" i="2"/>
  <c r="B100" i="2" s="1"/>
  <c r="C100" i="2"/>
  <c r="E100" i="2"/>
  <c r="G100" i="2"/>
  <c r="I100" i="2"/>
  <c r="K100" i="2"/>
  <c r="M100" i="2"/>
  <c r="O100" i="2"/>
  <c r="U100" i="2"/>
  <c r="W100" i="2"/>
  <c r="Y100" i="2"/>
  <c r="A101" i="2"/>
  <c r="C101" i="2"/>
  <c r="E101" i="2"/>
  <c r="G101" i="2"/>
  <c r="I101" i="2"/>
  <c r="K101" i="2"/>
  <c r="M101" i="2"/>
  <c r="O101" i="2"/>
  <c r="U101" i="2"/>
  <c r="W101" i="2"/>
  <c r="Y101" i="2"/>
  <c r="A102" i="2"/>
  <c r="C102" i="2"/>
  <c r="E102" i="2"/>
  <c r="G102" i="2"/>
  <c r="I102" i="2"/>
  <c r="K102" i="2"/>
  <c r="M102" i="2"/>
  <c r="O102" i="2"/>
  <c r="U102" i="2"/>
  <c r="W102" i="2"/>
  <c r="Y102" i="2"/>
  <c r="A103" i="2"/>
  <c r="B103" i="2" s="1"/>
  <c r="C103" i="2"/>
  <c r="E103" i="2"/>
  <c r="G103" i="2"/>
  <c r="I103" i="2"/>
  <c r="K103" i="2"/>
  <c r="M103" i="2"/>
  <c r="O103" i="2"/>
  <c r="U103" i="2"/>
  <c r="W103" i="2"/>
  <c r="Y103" i="2"/>
  <c r="A104" i="2"/>
  <c r="C104" i="2"/>
  <c r="E104" i="2"/>
  <c r="G104" i="2"/>
  <c r="I104" i="2"/>
  <c r="K104" i="2"/>
  <c r="M104" i="2"/>
  <c r="O104" i="2"/>
  <c r="U104" i="2"/>
  <c r="W104" i="2"/>
  <c r="Y104" i="2"/>
  <c r="A105" i="2"/>
  <c r="C105" i="2"/>
  <c r="E105" i="2"/>
  <c r="G105" i="2"/>
  <c r="I105" i="2"/>
  <c r="L105" i="2" s="1"/>
  <c r="K105" i="2"/>
  <c r="M105" i="2"/>
  <c r="O105" i="2"/>
  <c r="U105" i="2"/>
  <c r="W105" i="2"/>
  <c r="Y105" i="2"/>
  <c r="A106" i="2"/>
  <c r="B106" i="2" s="1"/>
  <c r="C106" i="2"/>
  <c r="D106" i="2" s="1"/>
  <c r="E106" i="2"/>
  <c r="G106" i="2"/>
  <c r="I106" i="2"/>
  <c r="K106" i="2"/>
  <c r="M106" i="2"/>
  <c r="O106" i="2"/>
  <c r="U106" i="2"/>
  <c r="W106" i="2"/>
  <c r="Y106" i="2"/>
  <c r="A107" i="2"/>
  <c r="B107" i="2" s="1"/>
  <c r="C107" i="2"/>
  <c r="E107" i="2"/>
  <c r="G107" i="2"/>
  <c r="I107" i="2"/>
  <c r="K107" i="2"/>
  <c r="M107" i="2"/>
  <c r="O107" i="2"/>
  <c r="U107" i="2"/>
  <c r="W107" i="2"/>
  <c r="Y107" i="2"/>
  <c r="A108" i="2"/>
  <c r="C108" i="2"/>
  <c r="E108" i="2"/>
  <c r="G108" i="2"/>
  <c r="I108" i="2"/>
  <c r="L108" i="2" s="1"/>
  <c r="K108" i="2"/>
  <c r="N108" i="2" s="1"/>
  <c r="M108" i="2"/>
  <c r="O108" i="2"/>
  <c r="U108" i="2"/>
  <c r="W108" i="2"/>
  <c r="Y108" i="2"/>
  <c r="A109" i="2"/>
  <c r="C109" i="2"/>
  <c r="D109" i="2" s="1"/>
  <c r="E109" i="2"/>
  <c r="G109" i="2"/>
  <c r="I109" i="2"/>
  <c r="K109" i="2"/>
  <c r="M109" i="2"/>
  <c r="O109" i="2"/>
  <c r="U109" i="2"/>
  <c r="W109" i="2"/>
  <c r="Y109" i="2"/>
  <c r="A110" i="2"/>
  <c r="C110" i="2"/>
  <c r="E110" i="2"/>
  <c r="G110" i="2"/>
  <c r="I110" i="2"/>
  <c r="K110" i="2"/>
  <c r="M110" i="2"/>
  <c r="O110" i="2"/>
  <c r="U110" i="2"/>
  <c r="W110" i="2"/>
  <c r="Y110" i="2"/>
  <c r="A111" i="2"/>
  <c r="C111" i="2"/>
  <c r="E111" i="2"/>
  <c r="G111" i="2"/>
  <c r="I111" i="2"/>
  <c r="K111" i="2"/>
  <c r="M111" i="2"/>
  <c r="O111" i="2"/>
  <c r="U111" i="2"/>
  <c r="W111" i="2"/>
  <c r="Y111" i="2"/>
  <c r="A112" i="2"/>
  <c r="C112" i="2"/>
  <c r="E112" i="2"/>
  <c r="G112" i="2"/>
  <c r="J112" i="2" s="1"/>
  <c r="I112" i="2"/>
  <c r="K112" i="2"/>
  <c r="M112" i="2"/>
  <c r="O112" i="2"/>
  <c r="U112" i="2"/>
  <c r="W112" i="2"/>
  <c r="Y112" i="2"/>
  <c r="A113" i="2"/>
  <c r="C113" i="2"/>
  <c r="E113" i="2"/>
  <c r="G113" i="2"/>
  <c r="I113" i="2"/>
  <c r="L113" i="2" s="1"/>
  <c r="K113" i="2"/>
  <c r="M113" i="2"/>
  <c r="O113" i="2"/>
  <c r="U113" i="2"/>
  <c r="W113" i="2"/>
  <c r="Y113" i="2"/>
  <c r="A114" i="2"/>
  <c r="C114" i="2"/>
  <c r="D114" i="2" s="1"/>
  <c r="E114" i="2"/>
  <c r="G114" i="2"/>
  <c r="I114" i="2"/>
  <c r="K114" i="2"/>
  <c r="M114" i="2"/>
  <c r="O114" i="2"/>
  <c r="U114" i="2"/>
  <c r="W114" i="2"/>
  <c r="Y114" i="2"/>
  <c r="A115" i="2"/>
  <c r="C115" i="2"/>
  <c r="E115" i="2"/>
  <c r="G115" i="2"/>
  <c r="I115" i="2"/>
  <c r="K115" i="2"/>
  <c r="M115" i="2"/>
  <c r="O115" i="2"/>
  <c r="U115" i="2"/>
  <c r="W115" i="2"/>
  <c r="Y115" i="2"/>
  <c r="A116" i="2"/>
  <c r="C116" i="2"/>
  <c r="E116" i="2"/>
  <c r="G116" i="2"/>
  <c r="I116" i="2"/>
  <c r="L116" i="2" s="1"/>
  <c r="K116" i="2"/>
  <c r="N116" i="2" s="1"/>
  <c r="M116" i="2"/>
  <c r="O116" i="2"/>
  <c r="U116" i="2"/>
  <c r="W116" i="2"/>
  <c r="Y116" i="2"/>
  <c r="A117" i="2"/>
  <c r="C117" i="2"/>
  <c r="E117" i="2"/>
  <c r="G117" i="2"/>
  <c r="I117" i="2"/>
  <c r="K117" i="2"/>
  <c r="M117" i="2"/>
  <c r="O117" i="2"/>
  <c r="U117" i="2"/>
  <c r="W117" i="2"/>
  <c r="Y117" i="2"/>
  <c r="A118" i="2"/>
  <c r="C118" i="2"/>
  <c r="E118" i="2"/>
  <c r="G118" i="2"/>
  <c r="I118" i="2"/>
  <c r="K118" i="2"/>
  <c r="M118" i="2"/>
  <c r="O118" i="2"/>
  <c r="U118" i="2"/>
  <c r="W118" i="2"/>
  <c r="Y118" i="2"/>
  <c r="A119" i="2"/>
  <c r="C119" i="2"/>
  <c r="E119" i="2"/>
  <c r="G119" i="2"/>
  <c r="I119" i="2"/>
  <c r="K119" i="2"/>
  <c r="M119" i="2"/>
  <c r="O119" i="2"/>
  <c r="U119" i="2"/>
  <c r="W119" i="2"/>
  <c r="Y119" i="2"/>
  <c r="A120" i="2"/>
  <c r="C120" i="2"/>
  <c r="D120" i="2" s="1"/>
  <c r="E120" i="2"/>
  <c r="G120" i="2"/>
  <c r="I120" i="2"/>
  <c r="K120" i="2"/>
  <c r="M120" i="2"/>
  <c r="O120" i="2"/>
  <c r="U120" i="2"/>
  <c r="W120" i="2"/>
  <c r="Y120" i="2"/>
  <c r="A121" i="2"/>
  <c r="C121" i="2"/>
  <c r="E121" i="2"/>
  <c r="G121" i="2"/>
  <c r="I121" i="2"/>
  <c r="K121" i="2"/>
  <c r="M121" i="2"/>
  <c r="O121" i="2"/>
  <c r="U121" i="2"/>
  <c r="W121" i="2"/>
  <c r="Y121" i="2"/>
  <c r="A122" i="2"/>
  <c r="C122" i="2"/>
  <c r="E122" i="2"/>
  <c r="G122" i="2"/>
  <c r="I122" i="2"/>
  <c r="K122" i="2"/>
  <c r="M122" i="2"/>
  <c r="O122" i="2"/>
  <c r="U122" i="2"/>
  <c r="W122" i="2"/>
  <c r="Y122" i="2"/>
  <c r="A123" i="2"/>
  <c r="C123" i="2"/>
  <c r="E123" i="2"/>
  <c r="G123" i="2"/>
  <c r="I123" i="2"/>
  <c r="K123" i="2"/>
  <c r="M123" i="2"/>
  <c r="O123" i="2"/>
  <c r="U123" i="2"/>
  <c r="W123" i="2"/>
  <c r="Y123" i="2"/>
  <c r="A124" i="2"/>
  <c r="C124" i="2"/>
  <c r="E124" i="2"/>
  <c r="G124" i="2"/>
  <c r="I124" i="2"/>
  <c r="L124" i="2" s="1"/>
  <c r="K124" i="2"/>
  <c r="N124" i="2" s="1"/>
  <c r="M124" i="2"/>
  <c r="O124" i="2"/>
  <c r="U124" i="2"/>
  <c r="W124" i="2"/>
  <c r="Y124" i="2"/>
  <c r="A125" i="2"/>
  <c r="C125" i="2"/>
  <c r="E125" i="2"/>
  <c r="G125" i="2"/>
  <c r="I125" i="2"/>
  <c r="K125" i="2"/>
  <c r="M125" i="2"/>
  <c r="O125" i="2"/>
  <c r="U125" i="2"/>
  <c r="W125" i="2"/>
  <c r="Y125" i="2"/>
  <c r="A126" i="2"/>
  <c r="C126" i="2"/>
  <c r="E126" i="2"/>
  <c r="G126" i="2"/>
  <c r="I126" i="2"/>
  <c r="K126" i="2"/>
  <c r="M126" i="2"/>
  <c r="O126" i="2"/>
  <c r="U126" i="2"/>
  <c r="W126" i="2"/>
  <c r="Y126" i="2"/>
  <c r="A127" i="2"/>
  <c r="B127" i="2" s="1"/>
  <c r="C127" i="2"/>
  <c r="D127" i="2" s="1"/>
  <c r="E127" i="2"/>
  <c r="G127" i="2"/>
  <c r="I127" i="2"/>
  <c r="K127" i="2"/>
  <c r="M127" i="2"/>
  <c r="O127" i="2"/>
  <c r="U127" i="2"/>
  <c r="W127" i="2"/>
  <c r="Y127" i="2"/>
  <c r="A128" i="2"/>
  <c r="C128" i="2"/>
  <c r="D128" i="2" s="1"/>
  <c r="E128" i="2"/>
  <c r="G128" i="2"/>
  <c r="I128" i="2"/>
  <c r="K128" i="2"/>
  <c r="M128" i="2"/>
  <c r="O128" i="2"/>
  <c r="U128" i="2"/>
  <c r="W128" i="2"/>
  <c r="Y128" i="2"/>
  <c r="A129" i="2"/>
  <c r="C129" i="2"/>
  <c r="E129" i="2"/>
  <c r="G129" i="2"/>
  <c r="I129" i="2"/>
  <c r="K129" i="2"/>
  <c r="M129" i="2"/>
  <c r="O129" i="2"/>
  <c r="U129" i="2"/>
  <c r="W129" i="2"/>
  <c r="Y129" i="2"/>
  <c r="A130" i="2"/>
  <c r="C130" i="2"/>
  <c r="D130" i="2" s="1"/>
  <c r="E130" i="2"/>
  <c r="G130" i="2"/>
  <c r="I130" i="2"/>
  <c r="K130" i="2"/>
  <c r="M130" i="2"/>
  <c r="O130" i="2"/>
  <c r="U130" i="2"/>
  <c r="W130" i="2"/>
  <c r="Y130" i="2"/>
  <c r="A131" i="2"/>
  <c r="B131" i="2" s="1"/>
  <c r="C131" i="2"/>
  <c r="E131" i="2"/>
  <c r="G131" i="2"/>
  <c r="I131" i="2"/>
  <c r="K131" i="2"/>
  <c r="M131" i="2"/>
  <c r="O131" i="2"/>
  <c r="U131" i="2"/>
  <c r="W131" i="2"/>
  <c r="Y131" i="2"/>
  <c r="A132" i="2"/>
  <c r="C132" i="2"/>
  <c r="E132" i="2"/>
  <c r="G132" i="2"/>
  <c r="I132" i="2"/>
  <c r="K132" i="2"/>
  <c r="M132" i="2"/>
  <c r="O132" i="2"/>
  <c r="U132" i="2"/>
  <c r="W132" i="2"/>
  <c r="Y132" i="2"/>
  <c r="A133" i="2"/>
  <c r="B133" i="2" s="1"/>
  <c r="C133" i="2"/>
  <c r="E133" i="2"/>
  <c r="G133" i="2"/>
  <c r="I133" i="2"/>
  <c r="K133" i="2"/>
  <c r="M133" i="2"/>
  <c r="O133" i="2"/>
  <c r="U133" i="2"/>
  <c r="W133" i="2"/>
  <c r="Y133" i="2"/>
  <c r="A134" i="2"/>
  <c r="C134" i="2"/>
  <c r="E134" i="2"/>
  <c r="G134" i="2"/>
  <c r="I134" i="2"/>
  <c r="K134" i="2"/>
  <c r="M134" i="2"/>
  <c r="O134" i="2"/>
  <c r="U134" i="2"/>
  <c r="W134" i="2"/>
  <c r="Y134" i="2"/>
  <c r="A135" i="2"/>
  <c r="C135" i="2"/>
  <c r="E135" i="2"/>
  <c r="G135" i="2"/>
  <c r="I135" i="2"/>
  <c r="K135" i="2"/>
  <c r="M135" i="2"/>
  <c r="O135" i="2"/>
  <c r="U135" i="2"/>
  <c r="W135" i="2"/>
  <c r="Y135" i="2"/>
  <c r="A136" i="2"/>
  <c r="C136" i="2"/>
  <c r="E136" i="2"/>
  <c r="G136" i="2"/>
  <c r="I136" i="2"/>
  <c r="K136" i="2"/>
  <c r="M136" i="2"/>
  <c r="O136" i="2"/>
  <c r="U136" i="2"/>
  <c r="W136" i="2"/>
  <c r="Y136" i="2"/>
  <c r="A137" i="2"/>
  <c r="C137" i="2"/>
  <c r="E137" i="2"/>
  <c r="G137" i="2"/>
  <c r="I137" i="2"/>
  <c r="K137" i="2"/>
  <c r="M137" i="2"/>
  <c r="O137" i="2"/>
  <c r="U137" i="2"/>
  <c r="W137" i="2"/>
  <c r="Y137" i="2"/>
  <c r="A138" i="2"/>
  <c r="C138" i="2"/>
  <c r="E138" i="2"/>
  <c r="G138" i="2"/>
  <c r="I138" i="2"/>
  <c r="K138" i="2"/>
  <c r="M138" i="2"/>
  <c r="O138" i="2"/>
  <c r="U138" i="2"/>
  <c r="W138" i="2"/>
  <c r="Y138" i="2"/>
  <c r="A139" i="2"/>
  <c r="C139" i="2"/>
  <c r="E139" i="2"/>
  <c r="G139" i="2"/>
  <c r="I139" i="2"/>
  <c r="K139" i="2"/>
  <c r="M139" i="2"/>
  <c r="O139" i="2"/>
  <c r="U139" i="2"/>
  <c r="W139" i="2"/>
  <c r="Y139" i="2"/>
  <c r="A140" i="2"/>
  <c r="C140" i="2"/>
  <c r="E140" i="2"/>
  <c r="G140" i="2"/>
  <c r="I140" i="2"/>
  <c r="K140" i="2"/>
  <c r="M140" i="2"/>
  <c r="O140" i="2"/>
  <c r="U140" i="2"/>
  <c r="W140" i="2"/>
  <c r="Y140" i="2"/>
  <c r="A141" i="2"/>
  <c r="C141" i="2"/>
  <c r="E141" i="2"/>
  <c r="G141" i="2"/>
  <c r="I141" i="2"/>
  <c r="K141" i="2"/>
  <c r="M141" i="2"/>
  <c r="O141" i="2"/>
  <c r="U141" i="2"/>
  <c r="W141" i="2"/>
  <c r="Y141" i="2"/>
  <c r="A142" i="2"/>
  <c r="C142" i="2"/>
  <c r="E142" i="2"/>
  <c r="G142" i="2"/>
  <c r="I142" i="2"/>
  <c r="K142" i="2"/>
  <c r="M142" i="2"/>
  <c r="O142" i="2"/>
  <c r="U142" i="2"/>
  <c r="W142" i="2"/>
  <c r="Y142" i="2"/>
  <c r="A143" i="2"/>
  <c r="C143" i="2"/>
  <c r="E143" i="2"/>
  <c r="G143" i="2"/>
  <c r="I143" i="2"/>
  <c r="K143" i="2"/>
  <c r="M143" i="2"/>
  <c r="O143" i="2"/>
  <c r="U143" i="2"/>
  <c r="W143" i="2"/>
  <c r="Y143" i="2"/>
  <c r="A144" i="2"/>
  <c r="C144" i="2"/>
  <c r="E144" i="2"/>
  <c r="G144" i="2"/>
  <c r="I144" i="2"/>
  <c r="K144" i="2"/>
  <c r="M144" i="2"/>
  <c r="O144" i="2"/>
  <c r="U144" i="2"/>
  <c r="W144" i="2"/>
  <c r="Y144" i="2"/>
  <c r="A145" i="2"/>
  <c r="B145" i="2" s="1"/>
  <c r="C145" i="2"/>
  <c r="E145" i="2"/>
  <c r="G145" i="2"/>
  <c r="I145" i="2"/>
  <c r="K145" i="2"/>
  <c r="M145" i="2"/>
  <c r="O145" i="2"/>
  <c r="U145" i="2"/>
  <c r="W145" i="2"/>
  <c r="Y145" i="2"/>
  <c r="A146" i="2"/>
  <c r="C146" i="2"/>
  <c r="E146" i="2"/>
  <c r="G146" i="2"/>
  <c r="I146" i="2"/>
  <c r="K146" i="2"/>
  <c r="M146" i="2"/>
  <c r="O146" i="2"/>
  <c r="U146" i="2"/>
  <c r="W146" i="2"/>
  <c r="Y146" i="2"/>
  <c r="A147" i="2"/>
  <c r="C147" i="2"/>
  <c r="E147" i="2"/>
  <c r="G147" i="2"/>
  <c r="I147" i="2"/>
  <c r="K147" i="2"/>
  <c r="M147" i="2"/>
  <c r="O147" i="2"/>
  <c r="U147" i="2"/>
  <c r="W147" i="2"/>
  <c r="Y147" i="2"/>
  <c r="A148" i="2"/>
  <c r="C148" i="2"/>
  <c r="E148" i="2"/>
  <c r="G148" i="2"/>
  <c r="I148" i="2"/>
  <c r="K148" i="2"/>
  <c r="M148" i="2"/>
  <c r="O148" i="2"/>
  <c r="U148" i="2"/>
  <c r="W148" i="2"/>
  <c r="Y148" i="2"/>
  <c r="A149" i="2"/>
  <c r="C149" i="2"/>
  <c r="E149" i="2"/>
  <c r="G149" i="2"/>
  <c r="I149" i="2"/>
  <c r="K149" i="2"/>
  <c r="M149" i="2"/>
  <c r="O149" i="2"/>
  <c r="U149" i="2"/>
  <c r="W149" i="2"/>
  <c r="Y149" i="2"/>
  <c r="A150" i="2"/>
  <c r="C150" i="2"/>
  <c r="D150" i="2" s="1"/>
  <c r="E150" i="2"/>
  <c r="G150" i="2"/>
  <c r="I150" i="2"/>
  <c r="K150" i="2"/>
  <c r="M150" i="2"/>
  <c r="O150" i="2"/>
  <c r="U150" i="2"/>
  <c r="W150" i="2"/>
  <c r="Y150" i="2"/>
  <c r="A151" i="2"/>
  <c r="C151" i="2"/>
  <c r="E151" i="2"/>
  <c r="G151" i="2"/>
  <c r="I151" i="2"/>
  <c r="K151" i="2"/>
  <c r="M151" i="2"/>
  <c r="O151" i="2"/>
  <c r="U151" i="2"/>
  <c r="W151" i="2"/>
  <c r="Y151" i="2"/>
  <c r="A152" i="2"/>
  <c r="C152" i="2"/>
  <c r="E152" i="2"/>
  <c r="G152" i="2"/>
  <c r="I152" i="2"/>
  <c r="K152" i="2"/>
  <c r="M152" i="2"/>
  <c r="O152" i="2"/>
  <c r="U152" i="2"/>
  <c r="W152" i="2"/>
  <c r="Y152" i="2"/>
  <c r="A153" i="2"/>
  <c r="C153" i="2"/>
  <c r="E153" i="2"/>
  <c r="G153" i="2"/>
  <c r="I153" i="2"/>
  <c r="K153" i="2"/>
  <c r="M153" i="2"/>
  <c r="O153" i="2"/>
  <c r="U153" i="2"/>
  <c r="W153" i="2"/>
  <c r="Y153" i="2"/>
  <c r="A154" i="2"/>
  <c r="C154" i="2"/>
  <c r="D154" i="2" s="1"/>
  <c r="E154" i="2"/>
  <c r="G154" i="2"/>
  <c r="I154" i="2"/>
  <c r="K154" i="2"/>
  <c r="M154" i="2"/>
  <c r="O154" i="2"/>
  <c r="U154" i="2"/>
  <c r="W154" i="2"/>
  <c r="Y154" i="2"/>
  <c r="A155" i="2"/>
  <c r="C155" i="2"/>
  <c r="E155" i="2"/>
  <c r="G155" i="2"/>
  <c r="I155" i="2"/>
  <c r="K155" i="2"/>
  <c r="M155" i="2"/>
  <c r="O155" i="2"/>
  <c r="U155" i="2"/>
  <c r="W155" i="2"/>
  <c r="Y155" i="2"/>
  <c r="A156" i="2"/>
  <c r="C156" i="2"/>
  <c r="E156" i="2"/>
  <c r="G156" i="2"/>
  <c r="I156" i="2"/>
  <c r="K156" i="2"/>
  <c r="M156" i="2"/>
  <c r="O156" i="2"/>
  <c r="U156" i="2"/>
  <c r="W156" i="2"/>
  <c r="Y156" i="2"/>
  <c r="A157" i="2"/>
  <c r="C157" i="2"/>
  <c r="E157" i="2"/>
  <c r="G157" i="2"/>
  <c r="I157" i="2"/>
  <c r="L157" i="2" s="1"/>
  <c r="K157" i="2"/>
  <c r="M157" i="2"/>
  <c r="O157" i="2"/>
  <c r="U157" i="2"/>
  <c r="W157" i="2"/>
  <c r="Y157" i="2"/>
  <c r="A158" i="2"/>
  <c r="C158" i="2"/>
  <c r="E158" i="2"/>
  <c r="G158" i="2"/>
  <c r="I158" i="2"/>
  <c r="K158" i="2"/>
  <c r="M158" i="2"/>
  <c r="O158" i="2"/>
  <c r="U158" i="2"/>
  <c r="W158" i="2"/>
  <c r="Y158" i="2"/>
  <c r="A159" i="2"/>
  <c r="C159" i="2"/>
  <c r="E159" i="2"/>
  <c r="G159" i="2"/>
  <c r="I159" i="2"/>
  <c r="K159" i="2"/>
  <c r="M159" i="2"/>
  <c r="O159" i="2"/>
  <c r="U159" i="2"/>
  <c r="W159" i="2"/>
  <c r="Y159" i="2"/>
  <c r="A160" i="2"/>
  <c r="B160" i="2" s="1"/>
  <c r="C160" i="2"/>
  <c r="E160" i="2"/>
  <c r="G160" i="2"/>
  <c r="I160" i="2"/>
  <c r="K160" i="2"/>
  <c r="M160" i="2"/>
  <c r="O160" i="2"/>
  <c r="U160" i="2"/>
  <c r="W160" i="2"/>
  <c r="Y160" i="2"/>
  <c r="A161" i="2"/>
  <c r="C161" i="2"/>
  <c r="E161" i="2"/>
  <c r="G161" i="2"/>
  <c r="I161" i="2"/>
  <c r="K161" i="2"/>
  <c r="M161" i="2"/>
  <c r="O161" i="2"/>
  <c r="U161" i="2"/>
  <c r="W161" i="2"/>
  <c r="Y161" i="2"/>
  <c r="A162" i="2"/>
  <c r="C162" i="2"/>
  <c r="D162" i="2" s="1"/>
  <c r="E162" i="2"/>
  <c r="G162" i="2"/>
  <c r="I162" i="2"/>
  <c r="K162" i="2"/>
  <c r="M162" i="2"/>
  <c r="O162" i="2"/>
  <c r="U162" i="2"/>
  <c r="W162" i="2"/>
  <c r="Y162" i="2"/>
  <c r="A163" i="2"/>
  <c r="C163" i="2"/>
  <c r="E163" i="2"/>
  <c r="G163" i="2"/>
  <c r="I163" i="2"/>
  <c r="K163" i="2"/>
  <c r="M163" i="2"/>
  <c r="O163" i="2"/>
  <c r="U163" i="2"/>
  <c r="W163" i="2"/>
  <c r="Y163" i="2"/>
  <c r="A164" i="2"/>
  <c r="C164" i="2"/>
  <c r="E164" i="2"/>
  <c r="G164" i="2"/>
  <c r="I164" i="2"/>
  <c r="K164" i="2"/>
  <c r="M164" i="2"/>
  <c r="O164" i="2"/>
  <c r="U164" i="2"/>
  <c r="W164" i="2"/>
  <c r="Y164" i="2"/>
  <c r="A165" i="2"/>
  <c r="C165" i="2"/>
  <c r="E165" i="2"/>
  <c r="G165" i="2"/>
  <c r="I165" i="2"/>
  <c r="K165" i="2"/>
  <c r="N165" i="2" s="1"/>
  <c r="M165" i="2"/>
  <c r="O165" i="2"/>
  <c r="U165" i="2"/>
  <c r="W165" i="2"/>
  <c r="Y165" i="2"/>
  <c r="A166" i="2"/>
  <c r="C166" i="2"/>
  <c r="E166" i="2"/>
  <c r="G166" i="2"/>
  <c r="I166" i="2"/>
  <c r="K166" i="2"/>
  <c r="M166" i="2"/>
  <c r="O166" i="2"/>
  <c r="U166" i="2"/>
  <c r="W166" i="2"/>
  <c r="Y166" i="2"/>
  <c r="A167" i="2"/>
  <c r="C167" i="2"/>
  <c r="E167" i="2"/>
  <c r="G167" i="2"/>
  <c r="I167" i="2"/>
  <c r="K167" i="2"/>
  <c r="N167" i="2" s="1"/>
  <c r="M167" i="2"/>
  <c r="O167" i="2"/>
  <c r="U167" i="2"/>
  <c r="W167" i="2"/>
  <c r="Y167" i="2"/>
  <c r="A168" i="2"/>
  <c r="C168" i="2"/>
  <c r="E168" i="2"/>
  <c r="G168" i="2"/>
  <c r="I168" i="2"/>
  <c r="K168" i="2"/>
  <c r="M168" i="2"/>
  <c r="O168" i="2"/>
  <c r="U168" i="2"/>
  <c r="W168" i="2"/>
  <c r="Y168" i="2"/>
  <c r="A169" i="2"/>
  <c r="C169" i="2"/>
  <c r="E169" i="2"/>
  <c r="G169" i="2"/>
  <c r="I169" i="2"/>
  <c r="K169" i="2"/>
  <c r="M169" i="2"/>
  <c r="O169" i="2"/>
  <c r="U169" i="2"/>
  <c r="W169" i="2"/>
  <c r="Y169" i="2"/>
  <c r="A170" i="2"/>
  <c r="C170" i="2"/>
  <c r="E170" i="2"/>
  <c r="G170" i="2"/>
  <c r="I170" i="2"/>
  <c r="K170" i="2"/>
  <c r="M170" i="2"/>
  <c r="O170" i="2"/>
  <c r="U170" i="2"/>
  <c r="W170" i="2"/>
  <c r="Y170" i="2"/>
  <c r="A171" i="2"/>
  <c r="C171" i="2"/>
  <c r="E171" i="2"/>
  <c r="G171" i="2"/>
  <c r="I171" i="2"/>
  <c r="K171" i="2"/>
  <c r="M171" i="2"/>
  <c r="O171" i="2"/>
  <c r="U171" i="2"/>
  <c r="W171" i="2"/>
  <c r="Y171" i="2"/>
  <c r="A172" i="2"/>
  <c r="C172" i="2"/>
  <c r="E172" i="2"/>
  <c r="G172" i="2"/>
  <c r="J172" i="2" s="1"/>
  <c r="I172" i="2"/>
  <c r="K172" i="2"/>
  <c r="M172" i="2"/>
  <c r="O172" i="2"/>
  <c r="U172" i="2"/>
  <c r="W172" i="2"/>
  <c r="Y172" i="2"/>
  <c r="A173" i="2"/>
  <c r="C173" i="2"/>
  <c r="E173" i="2"/>
  <c r="G173" i="2"/>
  <c r="I173" i="2"/>
  <c r="K173" i="2"/>
  <c r="M173" i="2"/>
  <c r="O173" i="2"/>
  <c r="U173" i="2"/>
  <c r="W173" i="2"/>
  <c r="Y173" i="2"/>
  <c r="A174" i="2"/>
  <c r="C174" i="2"/>
  <c r="E174" i="2"/>
  <c r="G174" i="2"/>
  <c r="I174" i="2"/>
  <c r="K174" i="2"/>
  <c r="N174" i="2" s="1"/>
  <c r="M174" i="2"/>
  <c r="O174" i="2"/>
  <c r="U174" i="2"/>
  <c r="W174" i="2"/>
  <c r="Y174" i="2"/>
  <c r="A175" i="2"/>
  <c r="C175" i="2"/>
  <c r="E175" i="2"/>
  <c r="G175" i="2"/>
  <c r="I175" i="2"/>
  <c r="K175" i="2"/>
  <c r="M175" i="2"/>
  <c r="O175" i="2"/>
  <c r="U175" i="2"/>
  <c r="W175" i="2"/>
  <c r="Y175" i="2"/>
  <c r="A176" i="2"/>
  <c r="C176" i="2"/>
  <c r="E176" i="2"/>
  <c r="G176" i="2"/>
  <c r="I176" i="2"/>
  <c r="K176" i="2"/>
  <c r="M176" i="2"/>
  <c r="O176" i="2"/>
  <c r="U176" i="2"/>
  <c r="W176" i="2"/>
  <c r="Y176" i="2"/>
  <c r="A177" i="2"/>
  <c r="C177" i="2"/>
  <c r="E177" i="2"/>
  <c r="G177" i="2"/>
  <c r="I177" i="2"/>
  <c r="K177" i="2"/>
  <c r="M177" i="2"/>
  <c r="O177" i="2"/>
  <c r="U177" i="2"/>
  <c r="W177" i="2"/>
  <c r="Y177" i="2"/>
  <c r="A178" i="2"/>
  <c r="C178" i="2"/>
  <c r="E178" i="2"/>
  <c r="G178" i="2"/>
  <c r="I178" i="2"/>
  <c r="K178" i="2"/>
  <c r="M178" i="2"/>
  <c r="O178" i="2"/>
  <c r="U178" i="2"/>
  <c r="W178" i="2"/>
  <c r="Y178" i="2"/>
  <c r="A179" i="2"/>
  <c r="C179" i="2"/>
  <c r="E179" i="2"/>
  <c r="G179" i="2"/>
  <c r="I179" i="2"/>
  <c r="L179" i="2" s="1"/>
  <c r="K179" i="2"/>
  <c r="M179" i="2"/>
  <c r="O179" i="2"/>
  <c r="U179" i="2"/>
  <c r="W179" i="2"/>
  <c r="Y179" i="2"/>
  <c r="A180" i="2"/>
  <c r="C180" i="2"/>
  <c r="E180" i="2"/>
  <c r="G180" i="2"/>
  <c r="I180" i="2"/>
  <c r="K180" i="2"/>
  <c r="M180" i="2"/>
  <c r="O180" i="2"/>
  <c r="U180" i="2"/>
  <c r="W180" i="2"/>
  <c r="Y180" i="2"/>
  <c r="A181" i="2"/>
  <c r="C181" i="2"/>
  <c r="E181" i="2"/>
  <c r="G181" i="2"/>
  <c r="I181" i="2"/>
  <c r="K181" i="2"/>
  <c r="M181" i="2"/>
  <c r="O181" i="2"/>
  <c r="U181" i="2"/>
  <c r="W181" i="2"/>
  <c r="Y181" i="2"/>
  <c r="A182" i="2"/>
  <c r="C182" i="2"/>
  <c r="E182" i="2"/>
  <c r="G182" i="2"/>
  <c r="I182" i="2"/>
  <c r="K182" i="2"/>
  <c r="M182" i="2"/>
  <c r="O182" i="2"/>
  <c r="U182" i="2"/>
  <c r="W182" i="2"/>
  <c r="Y182" i="2"/>
  <c r="A183" i="2"/>
  <c r="C183" i="2"/>
  <c r="E183" i="2"/>
  <c r="G183" i="2"/>
  <c r="I183" i="2"/>
  <c r="K183" i="2"/>
  <c r="M183" i="2"/>
  <c r="O183" i="2"/>
  <c r="U183" i="2"/>
  <c r="W183" i="2"/>
  <c r="Y183" i="2"/>
  <c r="A184" i="2"/>
  <c r="C184" i="2"/>
  <c r="E184" i="2"/>
  <c r="G184" i="2"/>
  <c r="I184" i="2"/>
  <c r="K184" i="2"/>
  <c r="M184" i="2"/>
  <c r="O184" i="2"/>
  <c r="U184" i="2"/>
  <c r="W184" i="2"/>
  <c r="Y184" i="2"/>
  <c r="A185" i="2"/>
  <c r="C185" i="2"/>
  <c r="E185" i="2"/>
  <c r="G185" i="2"/>
  <c r="I185" i="2"/>
  <c r="K185" i="2"/>
  <c r="M185" i="2"/>
  <c r="O185" i="2"/>
  <c r="U185" i="2"/>
  <c r="W185" i="2"/>
  <c r="Y185" i="2"/>
  <c r="A186" i="2"/>
  <c r="C186" i="2"/>
  <c r="E186" i="2"/>
  <c r="G186" i="2"/>
  <c r="I186" i="2"/>
  <c r="L186" i="2" s="1"/>
  <c r="K186" i="2"/>
  <c r="M186" i="2"/>
  <c r="O186" i="2"/>
  <c r="U186" i="2"/>
  <c r="W186" i="2"/>
  <c r="Y186" i="2"/>
  <c r="A187" i="2"/>
  <c r="C187" i="2"/>
  <c r="E187" i="2"/>
  <c r="G187" i="2"/>
  <c r="I187" i="2"/>
  <c r="L187" i="2" s="1"/>
  <c r="K187" i="2"/>
  <c r="M187" i="2"/>
  <c r="O187" i="2"/>
  <c r="U187" i="2"/>
  <c r="W187" i="2"/>
  <c r="Y187" i="2"/>
  <c r="A188" i="2"/>
  <c r="C188" i="2"/>
  <c r="E188" i="2"/>
  <c r="G188" i="2"/>
  <c r="I188" i="2"/>
  <c r="K188" i="2"/>
  <c r="M188" i="2"/>
  <c r="O188" i="2"/>
  <c r="U188" i="2"/>
  <c r="W188" i="2"/>
  <c r="Y188" i="2"/>
  <c r="A189" i="2"/>
  <c r="C189" i="2"/>
  <c r="E189" i="2"/>
  <c r="G189" i="2"/>
  <c r="I189" i="2"/>
  <c r="K189" i="2"/>
  <c r="M189" i="2"/>
  <c r="O189" i="2"/>
  <c r="U189" i="2"/>
  <c r="W189" i="2"/>
  <c r="Y189" i="2"/>
  <c r="A190" i="2"/>
  <c r="C190" i="2"/>
  <c r="E190" i="2"/>
  <c r="G190" i="2"/>
  <c r="I190" i="2"/>
  <c r="K190" i="2"/>
  <c r="M190" i="2"/>
  <c r="O190" i="2"/>
  <c r="U190" i="2"/>
  <c r="W190" i="2"/>
  <c r="Y190" i="2"/>
  <c r="A191" i="2"/>
  <c r="C191" i="2"/>
  <c r="E191" i="2"/>
  <c r="G191" i="2"/>
  <c r="I191" i="2"/>
  <c r="K191" i="2"/>
  <c r="M191" i="2"/>
  <c r="O191" i="2"/>
  <c r="U191" i="2"/>
  <c r="W191" i="2"/>
  <c r="Y191" i="2"/>
  <c r="A192" i="2"/>
  <c r="C192" i="2"/>
  <c r="E192" i="2"/>
  <c r="G192" i="2"/>
  <c r="I192" i="2"/>
  <c r="K192" i="2"/>
  <c r="M192" i="2"/>
  <c r="O192" i="2"/>
  <c r="U192" i="2"/>
  <c r="W192" i="2"/>
  <c r="Y192" i="2"/>
  <c r="A193" i="2"/>
  <c r="C193" i="2"/>
  <c r="E193" i="2"/>
  <c r="G193" i="2"/>
  <c r="I193" i="2"/>
  <c r="K193" i="2"/>
  <c r="M193" i="2"/>
  <c r="O193" i="2"/>
  <c r="U193" i="2"/>
  <c r="W193" i="2"/>
  <c r="Y193" i="2"/>
  <c r="A194" i="2"/>
  <c r="C194" i="2"/>
  <c r="E194" i="2"/>
  <c r="G194" i="2"/>
  <c r="J194" i="2" s="1"/>
  <c r="I194" i="2"/>
  <c r="K194" i="2"/>
  <c r="M194" i="2"/>
  <c r="O194" i="2"/>
  <c r="U194" i="2"/>
  <c r="W194" i="2"/>
  <c r="Y194" i="2"/>
  <c r="A195" i="2"/>
  <c r="C195" i="2"/>
  <c r="E195" i="2"/>
  <c r="G195" i="2"/>
  <c r="I195" i="2"/>
  <c r="K195" i="2"/>
  <c r="M195" i="2"/>
  <c r="O195" i="2"/>
  <c r="U195" i="2"/>
  <c r="W195" i="2"/>
  <c r="Y195" i="2"/>
  <c r="A196" i="2"/>
  <c r="C196" i="2"/>
  <c r="E196" i="2"/>
  <c r="G196" i="2"/>
  <c r="I196" i="2"/>
  <c r="L196" i="2" s="1"/>
  <c r="K196" i="2"/>
  <c r="N196" i="2" s="1"/>
  <c r="M196" i="2"/>
  <c r="O196" i="2"/>
  <c r="U196" i="2"/>
  <c r="W196" i="2"/>
  <c r="Y196" i="2"/>
  <c r="A197" i="2"/>
  <c r="C197" i="2"/>
  <c r="E197" i="2"/>
  <c r="G197" i="2"/>
  <c r="I197" i="2"/>
  <c r="K197" i="2"/>
  <c r="M197" i="2"/>
  <c r="O197" i="2"/>
  <c r="U197" i="2"/>
  <c r="W197" i="2"/>
  <c r="Y197" i="2"/>
  <c r="A198" i="2"/>
  <c r="C198" i="2"/>
  <c r="E198" i="2"/>
  <c r="G198" i="2"/>
  <c r="I198" i="2"/>
  <c r="K198" i="2"/>
  <c r="M198" i="2"/>
  <c r="O198" i="2"/>
  <c r="U198" i="2"/>
  <c r="W198" i="2"/>
  <c r="Y198" i="2"/>
  <c r="A199" i="2"/>
  <c r="C199" i="2"/>
  <c r="E199" i="2"/>
  <c r="G199" i="2"/>
  <c r="I199" i="2"/>
  <c r="K199" i="2"/>
  <c r="M199" i="2"/>
  <c r="O199" i="2"/>
  <c r="U199" i="2"/>
  <c r="W199" i="2"/>
  <c r="Y199" i="2"/>
  <c r="A200" i="2"/>
  <c r="C200" i="2"/>
  <c r="E200" i="2"/>
  <c r="G200" i="2"/>
  <c r="I200" i="2"/>
  <c r="K200" i="2"/>
  <c r="M200" i="2"/>
  <c r="O200" i="2"/>
  <c r="U200" i="2"/>
  <c r="W200" i="2"/>
  <c r="Y200" i="2"/>
  <c r="A201" i="2"/>
  <c r="C201" i="2"/>
  <c r="E201" i="2"/>
  <c r="G201" i="2"/>
  <c r="I201" i="2"/>
  <c r="K201" i="2"/>
  <c r="M201" i="2"/>
  <c r="O201" i="2"/>
  <c r="U201" i="2"/>
  <c r="W201" i="2"/>
  <c r="Y201" i="2"/>
  <c r="A202" i="2"/>
  <c r="C202" i="2"/>
  <c r="E202" i="2"/>
  <c r="G202" i="2"/>
  <c r="I202" i="2"/>
  <c r="K202" i="2"/>
  <c r="M202" i="2"/>
  <c r="O202" i="2"/>
  <c r="U202" i="2"/>
  <c r="W202" i="2"/>
  <c r="Y202" i="2"/>
  <c r="A203" i="2"/>
  <c r="C203" i="2"/>
  <c r="E203" i="2"/>
  <c r="G203" i="2"/>
  <c r="I203" i="2"/>
  <c r="K203" i="2"/>
  <c r="M203" i="2"/>
  <c r="O203" i="2"/>
  <c r="U203" i="2"/>
  <c r="W203" i="2"/>
  <c r="Y203" i="2"/>
  <c r="A204" i="2"/>
  <c r="C204" i="2"/>
  <c r="E204" i="2"/>
  <c r="G204" i="2"/>
  <c r="I204" i="2"/>
  <c r="K204" i="2"/>
  <c r="M204" i="2"/>
  <c r="O204" i="2"/>
  <c r="U204" i="2"/>
  <c r="W204" i="2"/>
  <c r="Y204" i="2"/>
  <c r="A205" i="2"/>
  <c r="C205" i="2"/>
  <c r="E205" i="2"/>
  <c r="G205" i="2"/>
  <c r="I205" i="2"/>
  <c r="K205" i="2"/>
  <c r="M205" i="2"/>
  <c r="O205" i="2"/>
  <c r="U205" i="2"/>
  <c r="W205" i="2"/>
  <c r="Y205" i="2"/>
  <c r="A206" i="2"/>
  <c r="C206" i="2"/>
  <c r="E206" i="2"/>
  <c r="G206" i="2"/>
  <c r="I206" i="2"/>
  <c r="K206" i="2"/>
  <c r="M206" i="2"/>
  <c r="O206" i="2"/>
  <c r="U206" i="2"/>
  <c r="W206" i="2"/>
  <c r="Y206" i="2"/>
  <c r="A207" i="2"/>
  <c r="C207" i="2"/>
  <c r="E207" i="2"/>
  <c r="G207" i="2"/>
  <c r="I207" i="2"/>
  <c r="K207" i="2"/>
  <c r="M207" i="2"/>
  <c r="O207" i="2"/>
  <c r="U207" i="2"/>
  <c r="W207" i="2"/>
  <c r="Y207" i="2"/>
  <c r="A208" i="2"/>
  <c r="C208" i="2"/>
  <c r="E208" i="2"/>
  <c r="G208" i="2"/>
  <c r="I208" i="2"/>
  <c r="K208" i="2"/>
  <c r="M208" i="2"/>
  <c r="O208" i="2"/>
  <c r="U208" i="2"/>
  <c r="W208" i="2"/>
  <c r="Y208" i="2"/>
  <c r="A209" i="2"/>
  <c r="C209" i="2"/>
  <c r="E209" i="2"/>
  <c r="G209" i="2"/>
  <c r="I209" i="2"/>
  <c r="K209" i="2"/>
  <c r="M209" i="2"/>
  <c r="O209" i="2"/>
  <c r="U209" i="2"/>
  <c r="W209" i="2"/>
  <c r="Y209" i="2"/>
  <c r="A210" i="2"/>
  <c r="C210" i="2"/>
  <c r="E210" i="2"/>
  <c r="G210" i="2"/>
  <c r="I210" i="2"/>
  <c r="K210" i="2"/>
  <c r="M210" i="2"/>
  <c r="O210" i="2"/>
  <c r="U210" i="2"/>
  <c r="W210" i="2"/>
  <c r="Y210" i="2"/>
  <c r="A211" i="2"/>
  <c r="C211" i="2"/>
  <c r="E211" i="2"/>
  <c r="G211" i="2"/>
  <c r="I211" i="2"/>
  <c r="K211" i="2"/>
  <c r="M211" i="2"/>
  <c r="O211" i="2"/>
  <c r="U211" i="2"/>
  <c r="W211" i="2"/>
  <c r="Y211" i="2"/>
  <c r="A212" i="2"/>
  <c r="C212" i="2"/>
  <c r="E212" i="2"/>
  <c r="G212" i="2"/>
  <c r="I212" i="2"/>
  <c r="K212" i="2"/>
  <c r="M212" i="2"/>
  <c r="O212" i="2"/>
  <c r="U212" i="2"/>
  <c r="W212" i="2"/>
  <c r="Y212" i="2"/>
  <c r="A213" i="2"/>
  <c r="C213" i="2"/>
  <c r="E213" i="2"/>
  <c r="G213" i="2"/>
  <c r="I213" i="2"/>
  <c r="K213" i="2"/>
  <c r="M213" i="2"/>
  <c r="O213" i="2"/>
  <c r="U213" i="2"/>
  <c r="W213" i="2"/>
  <c r="Y213" i="2"/>
  <c r="A214" i="2"/>
  <c r="C214" i="2"/>
  <c r="E214" i="2"/>
  <c r="G214" i="2"/>
  <c r="I214" i="2"/>
  <c r="K214" i="2"/>
  <c r="M214" i="2"/>
  <c r="O214" i="2"/>
  <c r="U214" i="2"/>
  <c r="W214" i="2"/>
  <c r="Y214" i="2"/>
  <c r="A215" i="2"/>
  <c r="C215" i="2"/>
  <c r="E215" i="2"/>
  <c r="G215" i="2"/>
  <c r="I215" i="2"/>
  <c r="K215" i="2"/>
  <c r="M215" i="2"/>
  <c r="O215" i="2"/>
  <c r="U215" i="2"/>
  <c r="W215" i="2"/>
  <c r="Y215" i="2"/>
  <c r="A216" i="2"/>
  <c r="C216" i="2"/>
  <c r="E216" i="2"/>
  <c r="G216" i="2"/>
  <c r="I216" i="2"/>
  <c r="K216" i="2"/>
  <c r="M216" i="2"/>
  <c r="O216" i="2"/>
  <c r="U216" i="2"/>
  <c r="W216" i="2"/>
  <c r="Y216" i="2"/>
  <c r="A217" i="2"/>
  <c r="C217" i="2"/>
  <c r="E217" i="2"/>
  <c r="G217" i="2"/>
  <c r="I217" i="2"/>
  <c r="K217" i="2"/>
  <c r="M217" i="2"/>
  <c r="O217" i="2"/>
  <c r="U217" i="2"/>
  <c r="W217" i="2"/>
  <c r="Y217" i="2"/>
  <c r="A218" i="2"/>
  <c r="C218" i="2"/>
  <c r="E218" i="2"/>
  <c r="G218" i="2"/>
  <c r="I218" i="2"/>
  <c r="K218" i="2"/>
  <c r="M218" i="2"/>
  <c r="O218" i="2"/>
  <c r="U218" i="2"/>
  <c r="W218" i="2"/>
  <c r="Y218" i="2"/>
  <c r="A219" i="2"/>
  <c r="C219" i="2"/>
  <c r="E219" i="2"/>
  <c r="G219" i="2"/>
  <c r="I219" i="2"/>
  <c r="K219" i="2"/>
  <c r="M219" i="2"/>
  <c r="O219" i="2"/>
  <c r="U219" i="2"/>
  <c r="W219" i="2"/>
  <c r="Y219" i="2"/>
  <c r="A220" i="2"/>
  <c r="C220" i="2"/>
  <c r="E220" i="2"/>
  <c r="G220" i="2"/>
  <c r="I220" i="2"/>
  <c r="K220" i="2"/>
  <c r="M220" i="2"/>
  <c r="O220" i="2"/>
  <c r="U220" i="2"/>
  <c r="W220" i="2"/>
  <c r="Y220" i="2"/>
  <c r="A221" i="2"/>
  <c r="C221" i="2"/>
  <c r="E221" i="2"/>
  <c r="G221" i="2"/>
  <c r="I221" i="2"/>
  <c r="K221" i="2"/>
  <c r="M221" i="2"/>
  <c r="O221" i="2"/>
  <c r="U221" i="2"/>
  <c r="W221" i="2"/>
  <c r="Y221" i="2"/>
  <c r="A222" i="2"/>
  <c r="C222" i="2"/>
  <c r="E222" i="2"/>
  <c r="G222" i="2"/>
  <c r="I222" i="2"/>
  <c r="K222" i="2"/>
  <c r="M222" i="2"/>
  <c r="O222" i="2"/>
  <c r="U222" i="2"/>
  <c r="W222" i="2"/>
  <c r="Y222" i="2"/>
  <c r="A223" i="2"/>
  <c r="C223" i="2"/>
  <c r="E223" i="2"/>
  <c r="G223" i="2"/>
  <c r="I223" i="2"/>
  <c r="K223" i="2"/>
  <c r="M223" i="2"/>
  <c r="O223" i="2"/>
  <c r="U223" i="2"/>
  <c r="W223" i="2"/>
  <c r="Y223" i="2"/>
  <c r="A224" i="2"/>
  <c r="C224" i="2"/>
  <c r="E224" i="2"/>
  <c r="G224" i="2"/>
  <c r="I224" i="2"/>
  <c r="K224" i="2"/>
  <c r="M224" i="2"/>
  <c r="O224" i="2"/>
  <c r="U224" i="2"/>
  <c r="W224" i="2"/>
  <c r="Y224" i="2"/>
  <c r="A225" i="2"/>
  <c r="C225" i="2"/>
  <c r="E225" i="2"/>
  <c r="G225" i="2"/>
  <c r="I225" i="2"/>
  <c r="K225" i="2"/>
  <c r="M225" i="2"/>
  <c r="O225" i="2"/>
  <c r="U225" i="2"/>
  <c r="W225" i="2"/>
  <c r="Y225" i="2"/>
  <c r="A226" i="2"/>
  <c r="C226" i="2"/>
  <c r="E226" i="2"/>
  <c r="G226" i="2"/>
  <c r="I226" i="2"/>
  <c r="K226" i="2"/>
  <c r="M226" i="2"/>
  <c r="O226" i="2"/>
  <c r="U226" i="2"/>
  <c r="W226" i="2"/>
  <c r="Y226" i="2"/>
  <c r="A227" i="2"/>
  <c r="C227" i="2"/>
  <c r="E227" i="2"/>
  <c r="G227" i="2"/>
  <c r="I227" i="2"/>
  <c r="K227" i="2"/>
  <c r="M227" i="2"/>
  <c r="O227" i="2"/>
  <c r="U227" i="2"/>
  <c r="W227" i="2"/>
  <c r="Y227" i="2"/>
  <c r="A228" i="2"/>
  <c r="C228" i="2"/>
  <c r="E228" i="2"/>
  <c r="G228" i="2"/>
  <c r="I228" i="2"/>
  <c r="L228" i="2" s="1"/>
  <c r="K228" i="2"/>
  <c r="N228" i="2" s="1"/>
  <c r="M228" i="2"/>
  <c r="O228" i="2"/>
  <c r="U228" i="2"/>
  <c r="W228" i="2"/>
  <c r="Y228" i="2"/>
  <c r="A229" i="2"/>
  <c r="C229" i="2"/>
  <c r="E229" i="2"/>
  <c r="G229" i="2"/>
  <c r="I229" i="2"/>
  <c r="K229" i="2"/>
  <c r="M229" i="2"/>
  <c r="O229" i="2"/>
  <c r="U229" i="2"/>
  <c r="W229" i="2"/>
  <c r="Y229" i="2"/>
  <c r="A230" i="2"/>
  <c r="C230" i="2"/>
  <c r="E230" i="2"/>
  <c r="G230" i="2"/>
  <c r="I230" i="2"/>
  <c r="K230" i="2"/>
  <c r="M230" i="2"/>
  <c r="O230" i="2"/>
  <c r="U230" i="2"/>
  <c r="W230" i="2"/>
  <c r="Y230" i="2"/>
  <c r="A231" i="2"/>
  <c r="C231" i="2"/>
  <c r="E231" i="2"/>
  <c r="G231" i="2"/>
  <c r="I231" i="2"/>
  <c r="K231" i="2"/>
  <c r="M231" i="2"/>
  <c r="O231" i="2"/>
  <c r="U231" i="2"/>
  <c r="W231" i="2"/>
  <c r="Y231" i="2"/>
  <c r="A232" i="2"/>
  <c r="C232" i="2"/>
  <c r="E232" i="2"/>
  <c r="G232" i="2"/>
  <c r="I232" i="2"/>
  <c r="K232" i="2"/>
  <c r="M232" i="2"/>
  <c r="O232" i="2"/>
  <c r="U232" i="2"/>
  <c r="W232" i="2"/>
  <c r="Y232" i="2"/>
  <c r="A233" i="2"/>
  <c r="C233" i="2"/>
  <c r="E233" i="2"/>
  <c r="G233" i="2"/>
  <c r="I233" i="2"/>
  <c r="K233" i="2"/>
  <c r="M233" i="2"/>
  <c r="O233" i="2"/>
  <c r="U233" i="2"/>
  <c r="W233" i="2"/>
  <c r="Y233" i="2"/>
  <c r="A234" i="2"/>
  <c r="C234" i="2"/>
  <c r="E234" i="2"/>
  <c r="G234" i="2"/>
  <c r="I234" i="2"/>
  <c r="K234" i="2"/>
  <c r="M234" i="2"/>
  <c r="O234" i="2"/>
  <c r="U234" i="2"/>
  <c r="W234" i="2"/>
  <c r="Y234" i="2"/>
  <c r="A235" i="2"/>
  <c r="C235" i="2"/>
  <c r="E235" i="2"/>
  <c r="G235" i="2"/>
  <c r="I235" i="2"/>
  <c r="K235" i="2"/>
  <c r="M235" i="2"/>
  <c r="O235" i="2"/>
  <c r="U235" i="2"/>
  <c r="W235" i="2"/>
  <c r="Y235" i="2"/>
  <c r="A236" i="2"/>
  <c r="C236" i="2"/>
  <c r="E236" i="2"/>
  <c r="G236" i="2"/>
  <c r="I236" i="2"/>
  <c r="K236" i="2"/>
  <c r="M236" i="2"/>
  <c r="O236" i="2"/>
  <c r="U236" i="2"/>
  <c r="W236" i="2"/>
  <c r="Y236" i="2"/>
  <c r="A237" i="2"/>
  <c r="C237" i="2"/>
  <c r="E237" i="2"/>
  <c r="G237" i="2"/>
  <c r="I237" i="2"/>
  <c r="K237" i="2"/>
  <c r="M237" i="2"/>
  <c r="O237" i="2"/>
  <c r="U237" i="2"/>
  <c r="W237" i="2"/>
  <c r="Y237" i="2"/>
  <c r="A238" i="2"/>
  <c r="C238" i="2"/>
  <c r="E238" i="2"/>
  <c r="G238" i="2"/>
  <c r="I238" i="2"/>
  <c r="K238" i="2"/>
  <c r="M238" i="2"/>
  <c r="O238" i="2"/>
  <c r="U238" i="2"/>
  <c r="W238" i="2"/>
  <c r="Y238" i="2"/>
  <c r="A239" i="2"/>
  <c r="C239" i="2"/>
  <c r="E239" i="2"/>
  <c r="G239" i="2"/>
  <c r="I239" i="2"/>
  <c r="K239" i="2"/>
  <c r="M239" i="2"/>
  <c r="O239" i="2"/>
  <c r="U239" i="2"/>
  <c r="W239" i="2"/>
  <c r="Y239" i="2"/>
  <c r="A240" i="2"/>
  <c r="C240" i="2"/>
  <c r="E240" i="2"/>
  <c r="G240" i="2"/>
  <c r="I240" i="2"/>
  <c r="K240" i="2"/>
  <c r="M240" i="2"/>
  <c r="O240" i="2"/>
  <c r="U240" i="2"/>
  <c r="W240" i="2"/>
  <c r="Y240" i="2"/>
  <c r="A241" i="2"/>
  <c r="C241" i="2"/>
  <c r="E241" i="2"/>
  <c r="G241" i="2"/>
  <c r="I241" i="2"/>
  <c r="K241" i="2"/>
  <c r="M241" i="2"/>
  <c r="O241" i="2"/>
  <c r="U241" i="2"/>
  <c r="W241" i="2"/>
  <c r="Y241" i="2"/>
  <c r="A242" i="2"/>
  <c r="C242" i="2"/>
  <c r="E242" i="2"/>
  <c r="G242" i="2"/>
  <c r="I242" i="2"/>
  <c r="K242" i="2"/>
  <c r="M242" i="2"/>
  <c r="O242" i="2"/>
  <c r="U242" i="2"/>
  <c r="W242" i="2"/>
  <c r="Y242" i="2"/>
  <c r="A243" i="2"/>
  <c r="C243" i="2"/>
  <c r="E243" i="2"/>
  <c r="G243" i="2"/>
  <c r="I243" i="2"/>
  <c r="K243" i="2"/>
  <c r="M243" i="2"/>
  <c r="O243" i="2"/>
  <c r="U243" i="2"/>
  <c r="W243" i="2"/>
  <c r="Y243" i="2"/>
  <c r="A244" i="2"/>
  <c r="C244" i="2"/>
  <c r="E244" i="2"/>
  <c r="G244" i="2"/>
  <c r="I244" i="2"/>
  <c r="K244" i="2"/>
  <c r="M244" i="2"/>
  <c r="O244" i="2"/>
  <c r="U244" i="2"/>
  <c r="W244" i="2"/>
  <c r="Y244" i="2"/>
  <c r="A245" i="2"/>
  <c r="C245" i="2"/>
  <c r="E245" i="2"/>
  <c r="G245" i="2"/>
  <c r="I245" i="2"/>
  <c r="K245" i="2"/>
  <c r="M245" i="2"/>
  <c r="O245" i="2"/>
  <c r="U245" i="2"/>
  <c r="W245" i="2"/>
  <c r="Y245" i="2"/>
  <c r="A246" i="2"/>
  <c r="C246" i="2"/>
  <c r="E246" i="2"/>
  <c r="G246" i="2"/>
  <c r="I246" i="2"/>
  <c r="K246" i="2"/>
  <c r="M246" i="2"/>
  <c r="O246" i="2"/>
  <c r="U246" i="2"/>
  <c r="W246" i="2"/>
  <c r="Y246" i="2"/>
  <c r="A247" i="2"/>
  <c r="C247" i="2"/>
  <c r="E247" i="2"/>
  <c r="G247" i="2"/>
  <c r="I247" i="2"/>
  <c r="K247" i="2"/>
  <c r="M247" i="2"/>
  <c r="O247" i="2"/>
  <c r="U247" i="2"/>
  <c r="W247" i="2"/>
  <c r="Y247" i="2"/>
  <c r="A248" i="2"/>
  <c r="C248" i="2"/>
  <c r="E248" i="2"/>
  <c r="G248" i="2"/>
  <c r="I248" i="2"/>
  <c r="K248" i="2"/>
  <c r="M248" i="2"/>
  <c r="O248" i="2"/>
  <c r="U248" i="2"/>
  <c r="W248" i="2"/>
  <c r="Y248" i="2"/>
  <c r="A249" i="2"/>
  <c r="C249" i="2"/>
  <c r="E249" i="2"/>
  <c r="G249" i="2"/>
  <c r="I249" i="2"/>
  <c r="K249" i="2"/>
  <c r="M249" i="2"/>
  <c r="O249" i="2"/>
  <c r="U249" i="2"/>
  <c r="W249" i="2"/>
  <c r="Y249" i="2"/>
  <c r="A250" i="2"/>
  <c r="C250" i="2"/>
  <c r="E250" i="2"/>
  <c r="G250" i="2"/>
  <c r="I250" i="2"/>
  <c r="K250" i="2"/>
  <c r="M250" i="2"/>
  <c r="O250" i="2"/>
  <c r="U250" i="2"/>
  <c r="W250" i="2"/>
  <c r="Y250" i="2"/>
  <c r="A251" i="2"/>
  <c r="C251" i="2"/>
  <c r="E251" i="2"/>
  <c r="G251" i="2"/>
  <c r="I251" i="2"/>
  <c r="K251" i="2"/>
  <c r="M251" i="2"/>
  <c r="O251" i="2"/>
  <c r="U251" i="2"/>
  <c r="W251" i="2"/>
  <c r="Y251" i="2"/>
  <c r="Y2" i="2"/>
  <c r="W2" i="2"/>
  <c r="O2" i="2"/>
  <c r="M2" i="2"/>
  <c r="K2" i="2"/>
  <c r="I2" i="2"/>
  <c r="G2" i="2"/>
  <c r="E2" i="2"/>
  <c r="C2" i="2"/>
  <c r="D2" i="2" s="1"/>
  <c r="A2" i="2"/>
  <c r="B2" i="2" s="1"/>
  <c r="J17" i="2" l="1"/>
  <c r="L235" i="2"/>
  <c r="F193" i="2"/>
  <c r="N168" i="2"/>
  <c r="D148" i="2"/>
  <c r="J94" i="2"/>
  <c r="B71" i="2"/>
  <c r="D231" i="2"/>
  <c r="N187" i="2"/>
  <c r="L174" i="2"/>
  <c r="F132" i="2"/>
  <c r="F20" i="2"/>
  <c r="J238" i="2"/>
  <c r="D212" i="2"/>
  <c r="L171" i="2"/>
  <c r="N251" i="2"/>
  <c r="B234" i="2"/>
  <c r="D215" i="2"/>
  <c r="F180" i="2"/>
  <c r="L158" i="2"/>
  <c r="J129" i="2"/>
  <c r="D244" i="2"/>
  <c r="F225" i="2"/>
  <c r="J174" i="2"/>
  <c r="N24" i="2"/>
  <c r="J225" i="2"/>
  <c r="B154" i="2"/>
  <c r="N11" i="2"/>
  <c r="N152" i="2"/>
  <c r="D132" i="2"/>
  <c r="L107" i="2"/>
  <c r="L245" i="2"/>
  <c r="L229" i="2"/>
  <c r="D110" i="2"/>
  <c r="J56" i="2"/>
  <c r="B238" i="2"/>
  <c r="N223" i="2"/>
  <c r="D184" i="2"/>
  <c r="D247" i="2"/>
  <c r="J209" i="2"/>
  <c r="L190" i="2"/>
  <c r="F164" i="2"/>
  <c r="D151" i="2"/>
  <c r="L142" i="2"/>
  <c r="B138" i="2"/>
  <c r="N123" i="2"/>
  <c r="D119" i="2"/>
  <c r="F100" i="2"/>
  <c r="L94" i="2"/>
  <c r="F84" i="2"/>
  <c r="N75" i="2"/>
  <c r="L62" i="2"/>
  <c r="D55" i="2"/>
  <c r="L46" i="2"/>
  <c r="F36" i="2"/>
  <c r="N248" i="2"/>
  <c r="L219" i="2"/>
  <c r="F209" i="2"/>
  <c r="J190" i="2"/>
  <c r="D180" i="2"/>
  <c r="B151" i="2"/>
  <c r="F113" i="2"/>
  <c r="L59" i="2"/>
  <c r="F33" i="2"/>
  <c r="L27" i="2"/>
  <c r="D20" i="2"/>
  <c r="F17" i="2"/>
  <c r="J14" i="2"/>
  <c r="L248" i="2"/>
  <c r="B228" i="2"/>
  <c r="N213" i="2"/>
  <c r="F206" i="2"/>
  <c r="J187" i="2"/>
  <c r="D177" i="2"/>
  <c r="J171" i="2"/>
  <c r="B164" i="2"/>
  <c r="J155" i="2"/>
  <c r="F142" i="2"/>
  <c r="J139" i="2"/>
  <c r="N133" i="2"/>
  <c r="B132" i="2"/>
  <c r="F126" i="2"/>
  <c r="J123" i="2"/>
  <c r="N117" i="2"/>
  <c r="D113" i="2"/>
  <c r="J107" i="2"/>
  <c r="D97" i="2"/>
  <c r="D81" i="2"/>
  <c r="J75" i="2"/>
  <c r="L72" i="2"/>
  <c r="B68" i="2"/>
  <c r="L56" i="2"/>
  <c r="F30" i="2"/>
  <c r="F251" i="2"/>
  <c r="N226" i="2"/>
  <c r="N210" i="2"/>
  <c r="F203" i="2"/>
  <c r="B193" i="2"/>
  <c r="J184" i="2"/>
  <c r="L165" i="2"/>
  <c r="F155" i="2"/>
  <c r="F139" i="2"/>
  <c r="L117" i="2"/>
  <c r="N98" i="2"/>
  <c r="N82" i="2"/>
  <c r="F59" i="2"/>
  <c r="D46" i="2"/>
  <c r="F27" i="2"/>
  <c r="F11" i="2"/>
  <c r="D235" i="2"/>
  <c r="L226" i="2"/>
  <c r="J213" i="2"/>
  <c r="F200" i="2"/>
  <c r="B190" i="2"/>
  <c r="L178" i="2"/>
  <c r="N159" i="2"/>
  <c r="N143" i="2"/>
  <c r="L130" i="2"/>
  <c r="L82" i="2"/>
  <c r="F72" i="2"/>
  <c r="J69" i="2"/>
  <c r="F245" i="2"/>
  <c r="N236" i="2"/>
  <c r="F229" i="2"/>
  <c r="N220" i="2"/>
  <c r="F213" i="2"/>
  <c r="N204" i="2"/>
  <c r="F197" i="2"/>
  <c r="B187" i="2"/>
  <c r="J178" i="2"/>
  <c r="L159" i="2"/>
  <c r="N2" i="2"/>
  <c r="F242" i="2"/>
  <c r="D229" i="2"/>
  <c r="F226" i="2"/>
  <c r="N217" i="2"/>
  <c r="J207" i="2"/>
  <c r="B200" i="2"/>
  <c r="D197" i="2"/>
  <c r="B250" i="2"/>
  <c r="F244" i="2"/>
  <c r="N219" i="2"/>
  <c r="N203" i="2"/>
  <c r="F196" i="2"/>
  <c r="B186" i="2"/>
  <c r="J177" i="2"/>
  <c r="B170" i="2"/>
  <c r="D167" i="2"/>
  <c r="F148" i="2"/>
  <c r="B122" i="2"/>
  <c r="L110" i="2"/>
  <c r="D103" i="2"/>
  <c r="J97" i="2"/>
  <c r="B90" i="2"/>
  <c r="D71" i="2"/>
  <c r="N59" i="2"/>
  <c r="D39" i="2"/>
  <c r="D7" i="2"/>
  <c r="B231" i="2"/>
  <c r="J206" i="2"/>
  <c r="B167" i="2"/>
  <c r="J158" i="2"/>
  <c r="L139" i="2"/>
  <c r="F129" i="2"/>
  <c r="N120" i="2"/>
  <c r="N104" i="2"/>
  <c r="B87" i="2"/>
  <c r="L43" i="2"/>
  <c r="L11" i="2"/>
  <c r="J235" i="2"/>
  <c r="D225" i="2"/>
  <c r="N242" i="2"/>
  <c r="F219" i="2"/>
  <c r="N194" i="2"/>
  <c r="N146" i="2"/>
  <c r="J136" i="2"/>
  <c r="D126" i="2"/>
  <c r="J104" i="2"/>
  <c r="F75" i="2"/>
  <c r="D14" i="2"/>
  <c r="J8" i="2"/>
  <c r="D251" i="2"/>
  <c r="B222" i="2"/>
  <c r="N207" i="2"/>
  <c r="N191" i="2"/>
  <c r="B158" i="2"/>
  <c r="J149" i="2"/>
  <c r="B142" i="2"/>
  <c r="F136" i="2"/>
  <c r="N127" i="2"/>
  <c r="N111" i="2"/>
  <c r="B94" i="2"/>
  <c r="F88" i="2"/>
  <c r="B78" i="2"/>
  <c r="B62" i="2"/>
  <c r="B251" i="2"/>
  <c r="D232" i="2"/>
  <c r="L223" i="2"/>
  <c r="D200" i="2"/>
  <c r="N188" i="2"/>
  <c r="F181" i="2"/>
  <c r="L175" i="2"/>
  <c r="B171" i="2"/>
  <c r="F165" i="2"/>
  <c r="B155" i="2"/>
  <c r="B248" i="2"/>
  <c r="N233" i="2"/>
  <c r="L220" i="2"/>
  <c r="D213" i="2"/>
  <c r="L204" i="2"/>
  <c r="N201" i="2"/>
  <c r="F194" i="2"/>
  <c r="L249" i="2"/>
  <c r="N246" i="2"/>
  <c r="B245" i="2"/>
  <c r="D242" i="2"/>
  <c r="F239" i="2"/>
  <c r="J236" i="2"/>
  <c r="L233" i="2"/>
  <c r="N230" i="2"/>
  <c r="B229" i="2"/>
  <c r="D226" i="2"/>
  <c r="F223" i="2"/>
  <c r="J220" i="2"/>
  <c r="L217" i="2"/>
  <c r="N214" i="2"/>
  <c r="B213" i="2"/>
  <c r="D210" i="2"/>
  <c r="F207" i="2"/>
  <c r="J204" i="2"/>
  <c r="L201" i="2"/>
  <c r="N198" i="2"/>
  <c r="B197" i="2"/>
  <c r="D194" i="2"/>
  <c r="F191" i="2"/>
  <c r="J188" i="2"/>
  <c r="L185" i="2"/>
  <c r="N182" i="2"/>
  <c r="B181" i="2"/>
  <c r="D178" i="2"/>
  <c r="D135" i="2"/>
  <c r="L126" i="2"/>
  <c r="F116" i="2"/>
  <c r="N107" i="2"/>
  <c r="J81" i="2"/>
  <c r="B58" i="2"/>
  <c r="F52" i="2"/>
  <c r="B42" i="2"/>
  <c r="F241" i="2"/>
  <c r="D228" i="2"/>
  <c r="N200" i="2"/>
  <c r="N184" i="2"/>
  <c r="D164" i="2"/>
  <c r="L123" i="2"/>
  <c r="D100" i="2"/>
  <c r="F81" i="2"/>
  <c r="N72" i="2"/>
  <c r="J62" i="2"/>
  <c r="N56" i="2"/>
  <c r="F49" i="2"/>
  <c r="J46" i="2"/>
  <c r="N40" i="2"/>
  <c r="B7" i="2"/>
  <c r="N245" i="2"/>
  <c r="L232" i="2"/>
  <c r="F222" i="2"/>
  <c r="B212" i="2"/>
  <c r="J203" i="2"/>
  <c r="L184" i="2"/>
  <c r="F174" i="2"/>
  <c r="L168" i="2"/>
  <c r="D161" i="2"/>
  <c r="L152" i="2"/>
  <c r="B116" i="2"/>
  <c r="J91" i="2"/>
  <c r="L40" i="2"/>
  <c r="F235" i="2"/>
  <c r="J216" i="2"/>
  <c r="L197" i="2"/>
  <c r="N162" i="2"/>
  <c r="D142" i="2"/>
  <c r="J120" i="2"/>
  <c r="L85" i="2"/>
  <c r="L69" i="2"/>
  <c r="B49" i="2"/>
  <c r="D30" i="2"/>
  <c r="J2" i="2"/>
  <c r="N175" i="2"/>
  <c r="D155" i="2"/>
  <c r="J133" i="2"/>
  <c r="B110" i="2"/>
  <c r="D75" i="2"/>
  <c r="L191" i="2"/>
  <c r="J223" i="2"/>
  <c r="L246" i="2"/>
  <c r="B242" i="2"/>
  <c r="F236" i="2"/>
  <c r="J233" i="2"/>
  <c r="L230" i="2"/>
  <c r="D223" i="2"/>
  <c r="F220" i="2"/>
  <c r="J217" i="2"/>
  <c r="L214" i="2"/>
  <c r="N211" i="2"/>
  <c r="B210" i="2"/>
  <c r="D207" i="2"/>
  <c r="F204" i="2"/>
  <c r="J201" i="2"/>
  <c r="L198" i="2"/>
  <c r="N195" i="2"/>
  <c r="B194" i="2"/>
  <c r="D191" i="2"/>
  <c r="F188" i="2"/>
  <c r="J185" i="2"/>
  <c r="L182" i="2"/>
  <c r="N179" i="2"/>
  <c r="B178" i="2"/>
  <c r="D175" i="2"/>
  <c r="F172" i="2"/>
  <c r="J169" i="2"/>
  <c r="L166" i="2"/>
  <c r="N163" i="2"/>
  <c r="B162" i="2"/>
  <c r="D159" i="2"/>
  <c r="F156" i="2"/>
  <c r="J153" i="2"/>
  <c r="L150" i="2"/>
  <c r="N147" i="2"/>
  <c r="B146" i="2"/>
  <c r="D143" i="2"/>
  <c r="F140" i="2"/>
  <c r="J137" i="2"/>
  <c r="L134" i="2"/>
  <c r="N131" i="2"/>
  <c r="B130" i="2"/>
  <c r="F124" i="2"/>
  <c r="J121" i="2"/>
  <c r="L118" i="2"/>
  <c r="N115" i="2"/>
  <c r="B114" i="2"/>
  <c r="D111" i="2"/>
  <c r="F108" i="2"/>
  <c r="J105" i="2"/>
  <c r="L102" i="2"/>
  <c r="N99" i="2"/>
  <c r="D95" i="2"/>
  <c r="F92" i="2"/>
  <c r="J89" i="2"/>
  <c r="L86" i="2"/>
  <c r="N83" i="2"/>
  <c r="B82" i="2"/>
  <c r="D79" i="2"/>
  <c r="F76" i="2"/>
  <c r="J73" i="2"/>
  <c r="B66" i="2"/>
  <c r="F60" i="2"/>
  <c r="L238" i="2"/>
  <c r="B202" i="2"/>
  <c r="B10" i="2"/>
  <c r="N136" i="2"/>
  <c r="D68" i="2"/>
  <c r="D36" i="2"/>
  <c r="D145" i="2"/>
  <c r="L136" i="2"/>
  <c r="D129" i="2"/>
  <c r="F110" i="2"/>
  <c r="N101" i="2"/>
  <c r="F62" i="2"/>
  <c r="N53" i="2"/>
  <c r="J43" i="2"/>
  <c r="B36" i="2"/>
  <c r="J27" i="2"/>
  <c r="B20" i="2"/>
  <c r="F14" i="2"/>
  <c r="B209" i="2"/>
  <c r="N178" i="2"/>
  <c r="B129" i="2"/>
  <c r="N114" i="2"/>
  <c r="L101" i="2"/>
  <c r="J88" i="2"/>
  <c r="F248" i="2"/>
  <c r="B206" i="2"/>
  <c r="F184" i="2"/>
  <c r="N79" i="2"/>
  <c r="J146" i="2"/>
  <c r="D239" i="2"/>
  <c r="N227" i="2"/>
  <c r="F249" i="2"/>
  <c r="B239" i="2"/>
  <c r="J230" i="2"/>
  <c r="L227" i="2"/>
  <c r="B223" i="2"/>
  <c r="D220" i="2"/>
  <c r="F217" i="2"/>
  <c r="J214" i="2"/>
  <c r="L211" i="2"/>
  <c r="N208" i="2"/>
  <c r="B207" i="2"/>
  <c r="D204" i="2"/>
  <c r="F201" i="2"/>
  <c r="J198" i="2"/>
  <c r="L195" i="2"/>
  <c r="N192" i="2"/>
  <c r="B191" i="2"/>
  <c r="D188" i="2"/>
  <c r="F185" i="2"/>
  <c r="J182" i="2"/>
  <c r="N176" i="2"/>
  <c r="B175" i="2"/>
  <c r="D172" i="2"/>
  <c r="F169" i="2"/>
  <c r="J166" i="2"/>
  <c r="L163" i="2"/>
  <c r="N160" i="2"/>
  <c r="B159" i="2"/>
  <c r="D156" i="2"/>
  <c r="F153" i="2"/>
  <c r="J150" i="2"/>
  <c r="L147" i="2"/>
  <c r="N144" i="2"/>
  <c r="B143" i="2"/>
  <c r="D140" i="2"/>
  <c r="F137" i="2"/>
  <c r="J134" i="2"/>
  <c r="L131" i="2"/>
  <c r="N128" i="2"/>
  <c r="D124" i="2"/>
  <c r="F121" i="2"/>
  <c r="J118" i="2"/>
  <c r="L115" i="2"/>
  <c r="N112" i="2"/>
  <c r="B111" i="2"/>
  <c r="D108" i="2"/>
  <c r="F105" i="2"/>
  <c r="J102" i="2"/>
  <c r="L99" i="2"/>
  <c r="N96" i="2"/>
  <c r="B95" i="2"/>
  <c r="D92" i="2"/>
  <c r="F89" i="2"/>
  <c r="J86" i="2"/>
  <c r="L83" i="2"/>
  <c r="N80" i="2"/>
  <c r="B79" i="2"/>
  <c r="F73" i="2"/>
  <c r="L67" i="2"/>
  <c r="N64" i="2"/>
  <c r="D60" i="2"/>
  <c r="F57" i="2"/>
  <c r="L206" i="2"/>
  <c r="J193" i="2"/>
  <c r="D183" i="2"/>
  <c r="N171" i="2"/>
  <c r="J161" i="2"/>
  <c r="J113" i="2"/>
  <c r="D87" i="2"/>
  <c r="B74" i="2"/>
  <c r="F4" i="2"/>
  <c r="B247" i="2"/>
  <c r="B199" i="2"/>
  <c r="F177" i="2"/>
  <c r="L155" i="2"/>
  <c r="B135" i="2"/>
  <c r="D116" i="2"/>
  <c r="F97" i="2"/>
  <c r="L75" i="2"/>
  <c r="D241" i="2"/>
  <c r="N197" i="2"/>
  <c r="F158" i="2"/>
  <c r="B148" i="2"/>
  <c r="L120" i="2"/>
  <c r="L104" i="2"/>
  <c r="F94" i="2"/>
  <c r="L88" i="2"/>
  <c r="F78" i="2"/>
  <c r="D65" i="2"/>
  <c r="J59" i="2"/>
  <c r="D49" i="2"/>
  <c r="F46" i="2"/>
  <c r="N37" i="2"/>
  <c r="D33" i="2"/>
  <c r="N21" i="2"/>
  <c r="F2" i="2"/>
  <c r="B241" i="2"/>
  <c r="B225" i="2"/>
  <c r="J200" i="2"/>
  <c r="L181" i="2"/>
  <c r="F171" i="2"/>
  <c r="B161" i="2"/>
  <c r="J152" i="2"/>
  <c r="L133" i="2"/>
  <c r="F123" i="2"/>
  <c r="F107" i="2"/>
  <c r="F91" i="2"/>
  <c r="B65" i="2"/>
  <c r="L37" i="2"/>
  <c r="L242" i="2"/>
  <c r="D219" i="2"/>
  <c r="D203" i="2"/>
  <c r="L194" i="2"/>
  <c r="D187" i="2"/>
  <c r="D171" i="2"/>
  <c r="L162" i="2"/>
  <c r="F152" i="2"/>
  <c r="J117" i="2"/>
  <c r="D107" i="2"/>
  <c r="D91" i="2"/>
  <c r="D248" i="2"/>
  <c r="J242" i="2"/>
  <c r="B235" i="2"/>
  <c r="B203" i="2"/>
  <c r="D168" i="2"/>
  <c r="F149" i="2"/>
  <c r="J249" i="2"/>
  <c r="N243" i="2"/>
  <c r="B226" i="2"/>
  <c r="J246" i="2"/>
  <c r="L243" i="2"/>
  <c r="N240" i="2"/>
  <c r="D236" i="2"/>
  <c r="F233" i="2"/>
  <c r="N224" i="2"/>
  <c r="D249" i="2"/>
  <c r="F246" i="2"/>
  <c r="J243" i="2"/>
  <c r="L240" i="2"/>
  <c r="N237" i="2"/>
  <c r="B236" i="2"/>
  <c r="D233" i="2"/>
  <c r="F230" i="2"/>
  <c r="J227" i="2"/>
  <c r="L224" i="2"/>
  <c r="N221" i="2"/>
  <c r="B220" i="2"/>
  <c r="D217" i="2"/>
  <c r="F214" i="2"/>
  <c r="J211" i="2"/>
  <c r="L208" i="2"/>
  <c r="N205" i="2"/>
  <c r="B204" i="2"/>
  <c r="D201" i="2"/>
  <c r="F198" i="2"/>
  <c r="J195" i="2"/>
  <c r="L192" i="2"/>
  <c r="N189" i="2"/>
  <c r="B188" i="2"/>
  <c r="D185" i="2"/>
  <c r="F182" i="2"/>
  <c r="J179" i="2"/>
  <c r="L176" i="2"/>
  <c r="N173" i="2"/>
  <c r="B172" i="2"/>
  <c r="D169" i="2"/>
  <c r="F166" i="2"/>
  <c r="J163" i="2"/>
  <c r="L160" i="2"/>
  <c r="N157" i="2"/>
  <c r="B156" i="2"/>
  <c r="D153" i="2"/>
  <c r="F150" i="2"/>
  <c r="J147" i="2"/>
  <c r="L144" i="2"/>
  <c r="N141" i="2"/>
  <c r="B140" i="2"/>
  <c r="D137" i="2"/>
  <c r="F134" i="2"/>
  <c r="J131" i="2"/>
  <c r="L128" i="2"/>
  <c r="N125" i="2"/>
  <c r="B124" i="2"/>
  <c r="D121" i="2"/>
  <c r="F118" i="2"/>
  <c r="J115" i="2"/>
  <c r="L112" i="2"/>
  <c r="N109" i="2"/>
  <c r="B108" i="2"/>
  <c r="D105" i="2"/>
  <c r="F102" i="2"/>
  <c r="J99" i="2"/>
  <c r="L96" i="2"/>
  <c r="N93" i="2"/>
  <c r="B92" i="2"/>
  <c r="D89" i="2"/>
  <c r="F86" i="2"/>
  <c r="J83" i="2"/>
  <c r="L80" i="2"/>
  <c r="N77" i="2"/>
  <c r="B76" i="2"/>
  <c r="N5" i="2"/>
  <c r="J248" i="2"/>
  <c r="J232" i="2"/>
  <c r="F187" i="2"/>
  <c r="J168" i="2"/>
  <c r="F43" i="2"/>
  <c r="N34" i="2"/>
  <c r="N239" i="2"/>
  <c r="L210" i="2"/>
  <c r="J197" i="2"/>
  <c r="F168" i="2"/>
  <c r="D139" i="2"/>
  <c r="D123" i="2"/>
  <c r="J101" i="2"/>
  <c r="J85" i="2"/>
  <c r="L239" i="2"/>
  <c r="J226" i="2"/>
  <c r="J210" i="2"/>
  <c r="B249" i="2"/>
  <c r="J240" i="2"/>
  <c r="B233" i="2"/>
  <c r="J224" i="2"/>
  <c r="J208" i="2"/>
  <c r="B201" i="2"/>
  <c r="D198" i="2"/>
  <c r="F195" i="2"/>
  <c r="L189" i="2"/>
  <c r="N186" i="2"/>
  <c r="B185" i="2"/>
  <c r="D182" i="2"/>
  <c r="F179" i="2"/>
  <c r="J176" i="2"/>
  <c r="L173" i="2"/>
  <c r="N170" i="2"/>
  <c r="F163" i="2"/>
  <c r="J160" i="2"/>
  <c r="N154" i="2"/>
  <c r="B153" i="2"/>
  <c r="F147" i="2"/>
  <c r="J144" i="2"/>
  <c r="L141" i="2"/>
  <c r="N138" i="2"/>
  <c r="B137" i="2"/>
  <c r="D134" i="2"/>
  <c r="F131" i="2"/>
  <c r="J128" i="2"/>
  <c r="L125" i="2"/>
  <c r="N122" i="2"/>
  <c r="B121" i="2"/>
  <c r="D118" i="2"/>
  <c r="F115" i="2"/>
  <c r="L109" i="2"/>
  <c r="N106" i="2"/>
  <c r="B105" i="2"/>
  <c r="D102" i="2"/>
  <c r="F99" i="2"/>
  <c r="J96" i="2"/>
  <c r="L93" i="2"/>
  <c r="N90" i="2"/>
  <c r="B89" i="2"/>
  <c r="D86" i="2"/>
  <c r="F83" i="2"/>
  <c r="J80" i="2"/>
  <c r="L77" i="2"/>
  <c r="N74" i="2"/>
  <c r="B73" i="2"/>
  <c r="D70" i="2"/>
  <c r="F67" i="2"/>
  <c r="J64" i="2"/>
  <c r="L61" i="2"/>
  <c r="N58" i="2"/>
  <c r="B57" i="2"/>
  <c r="J241" i="2"/>
  <c r="B218" i="2"/>
  <c r="D199" i="2"/>
  <c r="J145" i="2"/>
  <c r="F68" i="2"/>
  <c r="N43" i="2"/>
  <c r="J33" i="2"/>
  <c r="N27" i="2"/>
  <c r="J222" i="2"/>
  <c r="L203" i="2"/>
  <c r="B183" i="2"/>
  <c r="F161" i="2"/>
  <c r="F145" i="2"/>
  <c r="J126" i="2"/>
  <c r="J110" i="2"/>
  <c r="N88" i="2"/>
  <c r="J251" i="2"/>
  <c r="J219" i="2"/>
  <c r="D209" i="2"/>
  <c r="L200" i="2"/>
  <c r="D193" i="2"/>
  <c r="N181" i="2"/>
  <c r="B84" i="2"/>
  <c r="D206" i="2"/>
  <c r="D190" i="2"/>
  <c r="L149" i="2"/>
  <c r="N130" i="2"/>
  <c r="B113" i="2"/>
  <c r="B97" i="2"/>
  <c r="B81" i="2"/>
  <c r="N66" i="2"/>
  <c r="N50" i="2"/>
  <c r="L5" i="2"/>
  <c r="J229" i="2"/>
  <c r="J181" i="2"/>
  <c r="J165" i="2"/>
  <c r="L114" i="2"/>
  <c r="F104" i="2"/>
  <c r="N172" i="2"/>
  <c r="J162" i="2"/>
  <c r="D152" i="2"/>
  <c r="N249" i="2"/>
  <c r="L236" i="2"/>
  <c r="F210" i="2"/>
  <c r="F227" i="2"/>
  <c r="N218" i="2"/>
  <c r="L205" i="2"/>
  <c r="J192" i="2"/>
  <c r="D166" i="2"/>
  <c r="D243" i="2"/>
  <c r="L234" i="2"/>
  <c r="N231" i="2"/>
  <c r="D227" i="2"/>
  <c r="B214" i="2"/>
  <c r="D211" i="2"/>
  <c r="F208" i="2"/>
  <c r="B198" i="2"/>
  <c r="D195" i="2"/>
  <c r="F192" i="2"/>
  <c r="J189" i="2"/>
  <c r="N183" i="2"/>
  <c r="F176" i="2"/>
  <c r="L154" i="2"/>
  <c r="N151" i="2"/>
  <c r="D147" i="2"/>
  <c r="F144" i="2"/>
  <c r="J141" i="2"/>
  <c r="L138" i="2"/>
  <c r="N135" i="2"/>
  <c r="B134" i="2"/>
  <c r="D131" i="2"/>
  <c r="F128" i="2"/>
  <c r="J125" i="2"/>
  <c r="N119" i="2"/>
  <c r="B118" i="2"/>
  <c r="D115" i="2"/>
  <c r="F112" i="2"/>
  <c r="J109" i="2"/>
  <c r="L106" i="2"/>
  <c r="N103" i="2"/>
  <c r="B102" i="2"/>
  <c r="D99" i="2"/>
  <c r="F96" i="2"/>
  <c r="L90" i="2"/>
  <c r="B86" i="2"/>
  <c r="D83" i="2"/>
  <c r="F80" i="2"/>
  <c r="J77" i="2"/>
  <c r="L74" i="2"/>
  <c r="B70" i="2"/>
  <c r="D67" i="2"/>
  <c r="F64" i="2"/>
  <c r="N216" i="2"/>
  <c r="J142" i="2"/>
  <c r="D84" i="2"/>
  <c r="F238" i="2"/>
  <c r="N229" i="2"/>
  <c r="B196" i="2"/>
  <c r="F190" i="2"/>
  <c r="B180" i="2"/>
  <c r="N149" i="2"/>
  <c r="J11" i="2"/>
  <c r="D238" i="2"/>
  <c r="D222" i="2"/>
  <c r="D174" i="2"/>
  <c r="D94" i="2"/>
  <c r="D62" i="2"/>
  <c r="J245" i="2"/>
  <c r="F232" i="2"/>
  <c r="F216" i="2"/>
  <c r="B174" i="2"/>
  <c r="L146" i="2"/>
  <c r="F120" i="2"/>
  <c r="N95" i="2"/>
  <c r="B219" i="2"/>
  <c r="L207" i="2"/>
  <c r="N156" i="2"/>
  <c r="D245" i="2"/>
  <c r="B232" i="2"/>
  <c r="N250" i="2"/>
  <c r="F243" i="2"/>
  <c r="D230" i="2"/>
  <c r="B217" i="2"/>
  <c r="F211" i="2"/>
  <c r="N202" i="2"/>
  <c r="L250" i="2"/>
  <c r="B246" i="2"/>
  <c r="J237" i="2"/>
  <c r="J221" i="2"/>
  <c r="L218" i="2"/>
  <c r="N215" i="2"/>
  <c r="J205" i="2"/>
  <c r="L202" i="2"/>
  <c r="N199" i="2"/>
  <c r="B182" i="2"/>
  <c r="D179" i="2"/>
  <c r="J173" i="2"/>
  <c r="B166" i="2"/>
  <c r="D163" i="2"/>
  <c r="F160" i="2"/>
  <c r="J157" i="2"/>
  <c r="B150" i="2"/>
  <c r="L122" i="2"/>
  <c r="J250" i="2"/>
  <c r="D240" i="2"/>
  <c r="F221" i="2"/>
  <c r="J218" i="2"/>
  <c r="L199" i="2"/>
  <c r="B195" i="2"/>
  <c r="J186" i="2"/>
  <c r="L167" i="2"/>
  <c r="F228" i="2"/>
  <c r="F212" i="2"/>
  <c r="N155" i="2"/>
  <c r="N139" i="2"/>
  <c r="L78" i="2"/>
  <c r="J65" i="2"/>
  <c r="J49" i="2"/>
  <c r="B26" i="2"/>
  <c r="L251" i="2"/>
  <c r="N232" i="2"/>
  <c r="B215" i="2"/>
  <c r="D196" i="2"/>
  <c r="B119" i="2"/>
  <c r="J78" i="2"/>
  <c r="F65" i="2"/>
  <c r="B55" i="2"/>
  <c r="B244" i="2"/>
  <c r="L216" i="2"/>
  <c r="L213" i="2"/>
  <c r="B177" i="2"/>
  <c r="D158" i="2"/>
  <c r="D78" i="2"/>
  <c r="L53" i="2"/>
  <c r="L21" i="2"/>
  <c r="B126" i="2"/>
  <c r="L98" i="2"/>
  <c r="N63" i="2"/>
  <c r="L2" i="2"/>
  <c r="D216" i="2"/>
  <c r="J239" i="2"/>
  <c r="B216" i="2"/>
  <c r="D246" i="2"/>
  <c r="L237" i="2"/>
  <c r="N234" i="2"/>
  <c r="L221" i="2"/>
  <c r="D214" i="2"/>
  <c r="B169" i="2"/>
  <c r="N247" i="2"/>
  <c r="F240" i="2"/>
  <c r="B230" i="2"/>
  <c r="F224" i="2"/>
  <c r="L170" i="2"/>
  <c r="L247" i="2"/>
  <c r="N244" i="2"/>
  <c r="B243" i="2"/>
  <c r="F237" i="2"/>
  <c r="J234" i="2"/>
  <c r="L231" i="2"/>
  <c r="B227" i="2"/>
  <c r="D224" i="2"/>
  <c r="L215" i="2"/>
  <c r="N212" i="2"/>
  <c r="B211" i="2"/>
  <c r="D208" i="2"/>
  <c r="F205" i="2"/>
  <c r="J202" i="2"/>
  <c r="D192" i="2"/>
  <c r="F189" i="2"/>
  <c r="L183" i="2"/>
  <c r="N180" i="2"/>
  <c r="B179" i="2"/>
  <c r="D176" i="2"/>
  <c r="F173" i="2"/>
  <c r="J170" i="2"/>
  <c r="N164" i="2"/>
  <c r="N235" i="2"/>
  <c r="L222" i="2"/>
  <c r="L143" i="2"/>
  <c r="N140" i="2"/>
  <c r="B139" i="2"/>
  <c r="D136" i="2"/>
  <c r="F133" i="2"/>
  <c r="J130" i="2"/>
  <c r="L127" i="2"/>
  <c r="B123" i="2"/>
  <c r="F117" i="2"/>
  <c r="J114" i="2"/>
  <c r="L111" i="2"/>
  <c r="D104" i="2"/>
  <c r="F101" i="2"/>
  <c r="J98" i="2"/>
  <c r="L95" i="2"/>
  <c r="N92" i="2"/>
  <c r="B91" i="2"/>
  <c r="F85" i="2"/>
  <c r="J82" i="2"/>
  <c r="L79" i="2"/>
  <c r="N76" i="2"/>
  <c r="D72" i="2"/>
  <c r="F69" i="2"/>
  <c r="L63" i="2"/>
  <c r="N60" i="2"/>
  <c r="B59" i="2"/>
  <c r="F53" i="2"/>
  <c r="L47" i="2"/>
  <c r="D40" i="2"/>
  <c r="D24" i="2"/>
  <c r="D8" i="2"/>
  <c r="J191" i="2"/>
  <c r="L188" i="2"/>
  <c r="N185" i="2"/>
  <c r="B184" i="2"/>
  <c r="D181" i="2"/>
  <c r="F178" i="2"/>
  <c r="J175" i="2"/>
  <c r="L172" i="2"/>
  <c r="N169" i="2"/>
  <c r="B168" i="2"/>
  <c r="D165" i="2"/>
  <c r="F162" i="2"/>
  <c r="J159" i="2"/>
  <c r="L156" i="2"/>
  <c r="N153" i="2"/>
  <c r="B152" i="2"/>
  <c r="D149" i="2"/>
  <c r="F146" i="2"/>
  <c r="J143" i="2"/>
  <c r="L140" i="2"/>
  <c r="N137" i="2"/>
  <c r="B136" i="2"/>
  <c r="D133" i="2"/>
  <c r="F130" i="2"/>
  <c r="J127" i="2"/>
  <c r="N121" i="2"/>
  <c r="B120" i="2"/>
  <c r="D117" i="2"/>
  <c r="F114" i="2"/>
  <c r="J111" i="2"/>
  <c r="N105" i="2"/>
  <c r="B104" i="2"/>
  <c r="D101" i="2"/>
  <c r="F98" i="2"/>
  <c r="L92" i="2"/>
  <c r="N89" i="2"/>
  <c r="B88" i="2"/>
  <c r="D85" i="2"/>
  <c r="F82" i="2"/>
  <c r="J79" i="2"/>
  <c r="L76" i="2"/>
  <c r="N73" i="2"/>
  <c r="B72" i="2"/>
  <c r="D69" i="2"/>
  <c r="F66" i="2"/>
  <c r="J63" i="2"/>
  <c r="N57" i="2"/>
  <c r="L44" i="2"/>
  <c r="F34" i="2"/>
  <c r="L28" i="2"/>
  <c r="F18" i="2"/>
  <c r="L12" i="2"/>
  <c r="D5" i="2"/>
  <c r="F175" i="2"/>
  <c r="L169" i="2"/>
  <c r="N166" i="2"/>
  <c r="B165" i="2"/>
  <c r="F159" i="2"/>
  <c r="J156" i="2"/>
  <c r="L153" i="2"/>
  <c r="N150" i="2"/>
  <c r="B149" i="2"/>
  <c r="D146" i="2"/>
  <c r="F143" i="2"/>
  <c r="J140" i="2"/>
  <c r="L137" i="2"/>
  <c r="N134" i="2"/>
  <c r="F127" i="2"/>
  <c r="J124" i="2"/>
  <c r="L121" i="2"/>
  <c r="N118" i="2"/>
  <c r="B117" i="2"/>
  <c r="F111" i="2"/>
  <c r="J108" i="2"/>
  <c r="N102" i="2"/>
  <c r="B101" i="2"/>
  <c r="F95" i="2"/>
  <c r="J92" i="2"/>
  <c r="N86" i="2"/>
  <c r="B85" i="2"/>
  <c r="F79" i="2"/>
  <c r="J76" i="2"/>
  <c r="L73" i="2"/>
  <c r="N70" i="2"/>
  <c r="D66" i="2"/>
  <c r="F63" i="2"/>
  <c r="L57" i="2"/>
  <c r="N54" i="2"/>
  <c r="B53" i="2"/>
  <c r="F47" i="2"/>
  <c r="J44" i="2"/>
  <c r="B37" i="2"/>
  <c r="B21" i="2"/>
  <c r="L54" i="2"/>
  <c r="B50" i="2"/>
  <c r="F44" i="2"/>
  <c r="J41" i="2"/>
  <c r="F28" i="2"/>
  <c r="J25" i="2"/>
  <c r="F12" i="2"/>
  <c r="J9" i="2"/>
  <c r="J54" i="2"/>
  <c r="F41" i="2"/>
  <c r="F25" i="2"/>
  <c r="F9" i="2"/>
  <c r="J6" i="2"/>
  <c r="D73" i="2"/>
  <c r="F70" i="2"/>
  <c r="J67" i="2"/>
  <c r="N61" i="2"/>
  <c r="B60" i="2"/>
  <c r="D57" i="2"/>
  <c r="F54" i="2"/>
  <c r="J51" i="2"/>
  <c r="F38" i="2"/>
  <c r="F22" i="2"/>
  <c r="F6" i="2"/>
  <c r="J3" i="2"/>
  <c r="F51" i="2"/>
  <c r="F35" i="2"/>
  <c r="F19" i="2"/>
  <c r="F3" i="2"/>
  <c r="J61" i="2"/>
  <c r="D51" i="2"/>
  <c r="F48" i="2"/>
  <c r="J45" i="2"/>
  <c r="N39" i="2"/>
  <c r="N23" i="2"/>
  <c r="N7" i="2"/>
  <c r="J154" i="2"/>
  <c r="N148" i="2"/>
  <c r="F141" i="2"/>
  <c r="L119" i="2"/>
  <c r="D112" i="2"/>
  <c r="J106" i="2"/>
  <c r="L103" i="2"/>
  <c r="B99" i="2"/>
  <c r="N84" i="2"/>
  <c r="L71" i="2"/>
  <c r="N68" i="2"/>
  <c r="F61" i="2"/>
  <c r="B19" i="2"/>
  <c r="D16" i="2"/>
  <c r="D160" i="2"/>
  <c r="F157" i="2"/>
  <c r="L151" i="2"/>
  <c r="B147" i="2"/>
  <c r="D144" i="2"/>
  <c r="J138" i="2"/>
  <c r="L135" i="2"/>
  <c r="F125" i="2"/>
  <c r="J122" i="2"/>
  <c r="B115" i="2"/>
  <c r="F109" i="2"/>
  <c r="N100" i="2"/>
  <c r="F93" i="2"/>
  <c r="J90" i="2"/>
  <c r="L87" i="2"/>
  <c r="B83" i="2"/>
  <c r="F77" i="2"/>
  <c r="J58" i="2"/>
  <c r="B51" i="2"/>
  <c r="D48" i="2"/>
  <c r="F45" i="2"/>
  <c r="B35" i="2"/>
  <c r="D32" i="2"/>
  <c r="F250" i="2"/>
  <c r="J247" i="2"/>
  <c r="L244" i="2"/>
  <c r="N241" i="2"/>
  <c r="B240" i="2"/>
  <c r="D237" i="2"/>
  <c r="F234" i="2"/>
  <c r="J231" i="2"/>
  <c r="N225" i="2"/>
  <c r="B224" i="2"/>
  <c r="D221" i="2"/>
  <c r="F218" i="2"/>
  <c r="J215" i="2"/>
  <c r="L212" i="2"/>
  <c r="N209" i="2"/>
  <c r="B208" i="2"/>
  <c r="D205" i="2"/>
  <c r="F202" i="2"/>
  <c r="J199" i="2"/>
  <c r="N193" i="2"/>
  <c r="B192" i="2"/>
  <c r="D189" i="2"/>
  <c r="F186" i="2"/>
  <c r="J183" i="2"/>
  <c r="L180" i="2"/>
  <c r="N177" i="2"/>
  <c r="B176" i="2"/>
  <c r="D173" i="2"/>
  <c r="F170" i="2"/>
  <c r="J167" i="2"/>
  <c r="L164" i="2"/>
  <c r="N161" i="2"/>
  <c r="D157" i="2"/>
  <c r="F154" i="2"/>
  <c r="J151" i="2"/>
  <c r="L148" i="2"/>
  <c r="N145" i="2"/>
  <c r="B144" i="2"/>
  <c r="D141" i="2"/>
  <c r="F138" i="2"/>
  <c r="J135" i="2"/>
  <c r="L132" i="2"/>
  <c r="N129" i="2"/>
  <c r="B128" i="2"/>
  <c r="D125" i="2"/>
  <c r="F122" i="2"/>
  <c r="J119" i="2"/>
  <c r="N113" i="2"/>
  <c r="B112" i="2"/>
  <c r="F106" i="2"/>
  <c r="J103" i="2"/>
  <c r="L100" i="2"/>
  <c r="B96" i="2"/>
  <c r="D93" i="2"/>
  <c r="F90" i="2"/>
  <c r="L84" i="2"/>
  <c r="B80" i="2"/>
  <c r="D77" i="2"/>
  <c r="F74" i="2"/>
  <c r="J71" i="2"/>
  <c r="N65" i="2"/>
  <c r="B64" i="2"/>
  <c r="D61" i="2"/>
  <c r="F58" i="2"/>
  <c r="L52" i="2"/>
  <c r="B48" i="2"/>
  <c r="D45" i="2"/>
  <c r="F42" i="2"/>
  <c r="L36" i="2"/>
  <c r="D29" i="2"/>
  <c r="F26" i="2"/>
  <c r="L20" i="2"/>
  <c r="D13" i="2"/>
  <c r="F10" i="2"/>
  <c r="B163" i="2"/>
  <c r="N132" i="2"/>
  <c r="D64" i="2"/>
  <c r="D250" i="2"/>
  <c r="F247" i="2"/>
  <c r="J244" i="2"/>
  <c r="L241" i="2"/>
  <c r="N238" i="2"/>
  <c r="B237" i="2"/>
  <c r="D234" i="2"/>
  <c r="F231" i="2"/>
  <c r="J228" i="2"/>
  <c r="L225" i="2"/>
  <c r="N222" i="2"/>
  <c r="B221" i="2"/>
  <c r="D218" i="2"/>
  <c r="F215" i="2"/>
  <c r="J212" i="2"/>
  <c r="L209" i="2"/>
  <c r="N206" i="2"/>
  <c r="B205" i="2"/>
  <c r="D202" i="2"/>
  <c r="F199" i="2"/>
  <c r="J196" i="2"/>
  <c r="L193" i="2"/>
  <c r="N190" i="2"/>
  <c r="B189" i="2"/>
  <c r="D186" i="2"/>
  <c r="F183" i="2"/>
  <c r="J180" i="2"/>
  <c r="L177" i="2"/>
  <c r="B173" i="2"/>
  <c r="D170" i="2"/>
  <c r="F167" i="2"/>
  <c r="J164" i="2"/>
  <c r="L161" i="2"/>
  <c r="N158" i="2"/>
  <c r="B157" i="2"/>
  <c r="F151" i="2"/>
  <c r="J148" i="2"/>
  <c r="L145" i="2"/>
  <c r="N142" i="2"/>
  <c r="B141" i="2"/>
  <c r="D138" i="2"/>
  <c r="F135" i="2"/>
  <c r="J132" i="2"/>
  <c r="L129" i="2"/>
  <c r="N126" i="2"/>
  <c r="B125" i="2"/>
  <c r="D122" i="2"/>
  <c r="F119" i="2"/>
  <c r="J116" i="2"/>
  <c r="N110" i="2"/>
  <c r="B109" i="2"/>
  <c r="F103" i="2"/>
  <c r="J100" i="2"/>
  <c r="N94" i="2"/>
  <c r="B93" i="2"/>
  <c r="F87" i="2"/>
  <c r="J84" i="2"/>
  <c r="L81" i="2"/>
  <c r="N78" i="2"/>
  <c r="B77" i="2"/>
  <c r="D74" i="2"/>
  <c r="F71" i="2"/>
  <c r="J68" i="2"/>
  <c r="L65" i="2"/>
  <c r="D58" i="2"/>
  <c r="F55" i="2"/>
  <c r="J52" i="2"/>
  <c r="L49" i="2"/>
  <c r="F39" i="2"/>
  <c r="F23" i="2"/>
  <c r="F56" i="2"/>
  <c r="L50" i="2"/>
  <c r="N47" i="2"/>
  <c r="F40" i="2"/>
  <c r="N31" i="2"/>
  <c r="F24" i="2"/>
  <c r="N15" i="2"/>
  <c r="F8" i="2"/>
  <c r="V2" i="2"/>
  <c r="Z219" i="2"/>
  <c r="Z174" i="2"/>
  <c r="Z129" i="2"/>
  <c r="Z91" i="2"/>
  <c r="Z82" i="2"/>
  <c r="Z46" i="2"/>
  <c r="Z45" i="2"/>
  <c r="Z43" i="2"/>
  <c r="Z210" i="2"/>
  <c r="Z173" i="2"/>
  <c r="Z128" i="2"/>
  <c r="Z209" i="2"/>
  <c r="Z171" i="2"/>
  <c r="Z126" i="2"/>
  <c r="Z81" i="2"/>
  <c r="Z208" i="2"/>
  <c r="Z162" i="2"/>
  <c r="Z125" i="2"/>
  <c r="Z80" i="2"/>
  <c r="Z34" i="2"/>
  <c r="Z251" i="2"/>
  <c r="Z206" i="2"/>
  <c r="Z161" i="2"/>
  <c r="Z123" i="2"/>
  <c r="Z78" i="2"/>
  <c r="Z33" i="2"/>
  <c r="Z242" i="2"/>
  <c r="Z205" i="2"/>
  <c r="Z160" i="2"/>
  <c r="Z114" i="2"/>
  <c r="Z77" i="2"/>
  <c r="Z32" i="2"/>
  <c r="Z241" i="2"/>
  <c r="Z203" i="2"/>
  <c r="Z158" i="2"/>
  <c r="Z113" i="2"/>
  <c r="Z75" i="2"/>
  <c r="Z30" i="2"/>
  <c r="Z240" i="2"/>
  <c r="Z194" i="2"/>
  <c r="Z157" i="2"/>
  <c r="Z112" i="2"/>
  <c r="Z66" i="2"/>
  <c r="Z29" i="2"/>
  <c r="Z238" i="2"/>
  <c r="Z193" i="2"/>
  <c r="Z155" i="2"/>
  <c r="Z110" i="2"/>
  <c r="Z65" i="2"/>
  <c r="Z27" i="2"/>
  <c r="Z237" i="2"/>
  <c r="Z192" i="2"/>
  <c r="Z146" i="2"/>
  <c r="Z109" i="2"/>
  <c r="Z64" i="2"/>
  <c r="Z18" i="2"/>
  <c r="Z235" i="2"/>
  <c r="Z190" i="2"/>
  <c r="Z145" i="2"/>
  <c r="Z107" i="2"/>
  <c r="Z62" i="2"/>
  <c r="Z17" i="2"/>
  <c r="Z226" i="2"/>
  <c r="Z189" i="2"/>
  <c r="Z144" i="2"/>
  <c r="Z98" i="2"/>
  <c r="Z61" i="2"/>
  <c r="Z16" i="2"/>
  <c r="Z225" i="2"/>
  <c r="Z187" i="2"/>
  <c r="Z142" i="2"/>
  <c r="Z97" i="2"/>
  <c r="Z59" i="2"/>
  <c r="Z14" i="2"/>
  <c r="Z224" i="2"/>
  <c r="Z178" i="2"/>
  <c r="Z141" i="2"/>
  <c r="Z96" i="2"/>
  <c r="Z50" i="2"/>
  <c r="Z13" i="2"/>
  <c r="Z222" i="2"/>
  <c r="Z177" i="2"/>
  <c r="Z139" i="2"/>
  <c r="Z94" i="2"/>
  <c r="Z49" i="2"/>
  <c r="Z11" i="2"/>
  <c r="Z221" i="2"/>
  <c r="Z176" i="2"/>
  <c r="Z130" i="2"/>
  <c r="Z93" i="2"/>
  <c r="Z48" i="2"/>
  <c r="Z8" i="2"/>
  <c r="Z159" i="2"/>
  <c r="Z31" i="2"/>
  <c r="Z236" i="2"/>
  <c r="Z188" i="2"/>
  <c r="Z156" i="2"/>
  <c r="Z28" i="2"/>
  <c r="Z250" i="2"/>
  <c r="Z234" i="2"/>
  <c r="Z218" i="2"/>
  <c r="Z202" i="2"/>
  <c r="Z186" i="2"/>
  <c r="Z170" i="2"/>
  <c r="Z154" i="2"/>
  <c r="Z138" i="2"/>
  <c r="Z122" i="2"/>
  <c r="Z106" i="2"/>
  <c r="Z90" i="2"/>
  <c r="Z74" i="2"/>
  <c r="Z58" i="2"/>
  <c r="Z42" i="2"/>
  <c r="Z26" i="2"/>
  <c r="Z10" i="2"/>
  <c r="Z95" i="2"/>
  <c r="Z92" i="2"/>
  <c r="Z249" i="2"/>
  <c r="Z233" i="2"/>
  <c r="Z217" i="2"/>
  <c r="Z201" i="2"/>
  <c r="Z185" i="2"/>
  <c r="Z169" i="2"/>
  <c r="Z153" i="2"/>
  <c r="Z137" i="2"/>
  <c r="Z121" i="2"/>
  <c r="Z105" i="2"/>
  <c r="Z89" i="2"/>
  <c r="Z73" i="2"/>
  <c r="Z57" i="2"/>
  <c r="Z41" i="2"/>
  <c r="Z25" i="2"/>
  <c r="Z9" i="2"/>
  <c r="Z47" i="2"/>
  <c r="Z220" i="2"/>
  <c r="Z124" i="2"/>
  <c r="Z248" i="2"/>
  <c r="Z232" i="2"/>
  <c r="Z216" i="2"/>
  <c r="Z200" i="2"/>
  <c r="Z184" i="2"/>
  <c r="Z168" i="2"/>
  <c r="Z152" i="2"/>
  <c r="Z136" i="2"/>
  <c r="Z120" i="2"/>
  <c r="Z104" i="2"/>
  <c r="Z88" i="2"/>
  <c r="Z72" i="2"/>
  <c r="Z56" i="2"/>
  <c r="Z40" i="2"/>
  <c r="Z24" i="2"/>
  <c r="Z191" i="2"/>
  <c r="Z79" i="2"/>
  <c r="Z108" i="2"/>
  <c r="Z247" i="2"/>
  <c r="Z231" i="2"/>
  <c r="Z215" i="2"/>
  <c r="Z199" i="2"/>
  <c r="Z183" i="2"/>
  <c r="Z167" i="2"/>
  <c r="Z151" i="2"/>
  <c r="Z135" i="2"/>
  <c r="Z119" i="2"/>
  <c r="Z103" i="2"/>
  <c r="Z87" i="2"/>
  <c r="Z71" i="2"/>
  <c r="Z55" i="2"/>
  <c r="Z39" i="2"/>
  <c r="Z23" i="2"/>
  <c r="Z7" i="2"/>
  <c r="Z239" i="2"/>
  <c r="Z111" i="2"/>
  <c r="Z60" i="2"/>
  <c r="Z246" i="2"/>
  <c r="Z230" i="2"/>
  <c r="Z214" i="2"/>
  <c r="Z198" i="2"/>
  <c r="Z182" i="2"/>
  <c r="Z166" i="2"/>
  <c r="Z150" i="2"/>
  <c r="Z134" i="2"/>
  <c r="Z118" i="2"/>
  <c r="Z102" i="2"/>
  <c r="Z86" i="2"/>
  <c r="Z70" i="2"/>
  <c r="Z54" i="2"/>
  <c r="Z38" i="2"/>
  <c r="Z22" i="2"/>
  <c r="Z6" i="2"/>
  <c r="Z223" i="2"/>
  <c r="Z143" i="2"/>
  <c r="Z63" i="2"/>
  <c r="Z76" i="2"/>
  <c r="Z245" i="2"/>
  <c r="Z229" i="2"/>
  <c r="Z213" i="2"/>
  <c r="Z197" i="2"/>
  <c r="Z181" i="2"/>
  <c r="Z165" i="2"/>
  <c r="Z149" i="2"/>
  <c r="Z133" i="2"/>
  <c r="Z117" i="2"/>
  <c r="Z101" i="2"/>
  <c r="Z85" i="2"/>
  <c r="Z69" i="2"/>
  <c r="Z53" i="2"/>
  <c r="Z37" i="2"/>
  <c r="Z21" i="2"/>
  <c r="Z5" i="2"/>
  <c r="Z175" i="2"/>
  <c r="Z15" i="2"/>
  <c r="Z204" i="2"/>
  <c r="Z172" i="2"/>
  <c r="Z140" i="2"/>
  <c r="Z44" i="2"/>
  <c r="Z244" i="2"/>
  <c r="Z228" i="2"/>
  <c r="Z212" i="2"/>
  <c r="Z196" i="2"/>
  <c r="Z180" i="2"/>
  <c r="Z164" i="2"/>
  <c r="Z148" i="2"/>
  <c r="Z132" i="2"/>
  <c r="Z116" i="2"/>
  <c r="Z100" i="2"/>
  <c r="Z84" i="2"/>
  <c r="Z68" i="2"/>
  <c r="Z52" i="2"/>
  <c r="Z36" i="2"/>
  <c r="Z20" i="2"/>
  <c r="Z4" i="2"/>
  <c r="Z207" i="2"/>
  <c r="Z127" i="2"/>
  <c r="Z12" i="2"/>
  <c r="Z243" i="2"/>
  <c r="Z227" i="2"/>
  <c r="Z211" i="2"/>
  <c r="Z195" i="2"/>
  <c r="Z179" i="2"/>
  <c r="Z163" i="2"/>
  <c r="Z147" i="2"/>
  <c r="Z131" i="2"/>
  <c r="Z115" i="2"/>
  <c r="Z99" i="2"/>
  <c r="Z83" i="2"/>
  <c r="Z67" i="2"/>
  <c r="Z51" i="2"/>
  <c r="Z35" i="2"/>
  <c r="Z19" i="2"/>
  <c r="Z3" i="2"/>
  <c r="Z2" i="2"/>
  <c r="X209" i="2"/>
  <c r="X171" i="2"/>
  <c r="X126" i="2"/>
  <c r="X81" i="2"/>
  <c r="X43" i="2"/>
  <c r="X208" i="2"/>
  <c r="X162" i="2"/>
  <c r="X125" i="2"/>
  <c r="X80" i="2"/>
  <c r="X34" i="2"/>
  <c r="X251" i="2"/>
  <c r="X206" i="2"/>
  <c r="X161" i="2"/>
  <c r="X123" i="2"/>
  <c r="X78" i="2"/>
  <c r="X33" i="2"/>
  <c r="X242" i="2"/>
  <c r="X205" i="2"/>
  <c r="X160" i="2"/>
  <c r="X114" i="2"/>
  <c r="X77" i="2"/>
  <c r="X32" i="2"/>
  <c r="X241" i="2"/>
  <c r="X203" i="2"/>
  <c r="X158" i="2"/>
  <c r="X113" i="2"/>
  <c r="X75" i="2"/>
  <c r="X30" i="2"/>
  <c r="X240" i="2"/>
  <c r="X194" i="2"/>
  <c r="X157" i="2"/>
  <c r="X112" i="2"/>
  <c r="X66" i="2"/>
  <c r="X29" i="2"/>
  <c r="X238" i="2"/>
  <c r="X193" i="2"/>
  <c r="X155" i="2"/>
  <c r="X110" i="2"/>
  <c r="X65" i="2"/>
  <c r="X27" i="2"/>
  <c r="X237" i="2"/>
  <c r="X192" i="2"/>
  <c r="X146" i="2"/>
  <c r="X109" i="2"/>
  <c r="X64" i="2"/>
  <c r="X21" i="2"/>
  <c r="X235" i="2"/>
  <c r="X190" i="2"/>
  <c r="X145" i="2"/>
  <c r="X107" i="2"/>
  <c r="X62" i="2"/>
  <c r="X18" i="2"/>
  <c r="X226" i="2"/>
  <c r="X189" i="2"/>
  <c r="X144" i="2"/>
  <c r="X98" i="2"/>
  <c r="X61" i="2"/>
  <c r="X17" i="2"/>
  <c r="X225" i="2"/>
  <c r="X187" i="2"/>
  <c r="X142" i="2"/>
  <c r="X97" i="2"/>
  <c r="X59" i="2"/>
  <c r="X16" i="2"/>
  <c r="X224" i="2"/>
  <c r="X178" i="2"/>
  <c r="X141" i="2"/>
  <c r="X96" i="2"/>
  <c r="X50" i="2"/>
  <c r="X14" i="2"/>
  <c r="X222" i="2"/>
  <c r="X177" i="2"/>
  <c r="X139" i="2"/>
  <c r="X94" i="2"/>
  <c r="X49" i="2"/>
  <c r="X13" i="2"/>
  <c r="X221" i="2"/>
  <c r="X176" i="2"/>
  <c r="X130" i="2"/>
  <c r="X93" i="2"/>
  <c r="X48" i="2"/>
  <c r="X11" i="2"/>
  <c r="X219" i="2"/>
  <c r="X174" i="2"/>
  <c r="X129" i="2"/>
  <c r="X91" i="2"/>
  <c r="X46" i="2"/>
  <c r="X5" i="2"/>
  <c r="X210" i="2"/>
  <c r="X173" i="2"/>
  <c r="X128" i="2"/>
  <c r="X82" i="2"/>
  <c r="X45" i="2"/>
  <c r="X127" i="2"/>
  <c r="X108" i="2"/>
  <c r="X250" i="2"/>
  <c r="X234" i="2"/>
  <c r="X218" i="2"/>
  <c r="X202" i="2"/>
  <c r="X186" i="2"/>
  <c r="X170" i="2"/>
  <c r="X154" i="2"/>
  <c r="X138" i="2"/>
  <c r="X122" i="2"/>
  <c r="X106" i="2"/>
  <c r="X90" i="2"/>
  <c r="X74" i="2"/>
  <c r="X58" i="2"/>
  <c r="X42" i="2"/>
  <c r="X26" i="2"/>
  <c r="X10" i="2"/>
  <c r="X15" i="2"/>
  <c r="X76" i="2"/>
  <c r="X249" i="2"/>
  <c r="X233" i="2"/>
  <c r="X217" i="2"/>
  <c r="X201" i="2"/>
  <c r="X185" i="2"/>
  <c r="X169" i="2"/>
  <c r="X153" i="2"/>
  <c r="X137" i="2"/>
  <c r="X121" i="2"/>
  <c r="X105" i="2"/>
  <c r="X89" i="2"/>
  <c r="X73" i="2"/>
  <c r="X57" i="2"/>
  <c r="X41" i="2"/>
  <c r="X25" i="2"/>
  <c r="X9" i="2"/>
  <c r="X31" i="2"/>
  <c r="X188" i="2"/>
  <c r="X124" i="2"/>
  <c r="X248" i="2"/>
  <c r="X232" i="2"/>
  <c r="X216" i="2"/>
  <c r="X200" i="2"/>
  <c r="X184" i="2"/>
  <c r="X168" i="2"/>
  <c r="X152" i="2"/>
  <c r="X136" i="2"/>
  <c r="X120" i="2"/>
  <c r="X104" i="2"/>
  <c r="X88" i="2"/>
  <c r="X72" i="2"/>
  <c r="X56" i="2"/>
  <c r="X40" i="2"/>
  <c r="X24" i="2"/>
  <c r="X8" i="2"/>
  <c r="X239" i="2"/>
  <c r="X111" i="2"/>
  <c r="X12" i="2"/>
  <c r="X247" i="2"/>
  <c r="X231" i="2"/>
  <c r="X215" i="2"/>
  <c r="X199" i="2"/>
  <c r="X183" i="2"/>
  <c r="X167" i="2"/>
  <c r="X151" i="2"/>
  <c r="X135" i="2"/>
  <c r="X119" i="2"/>
  <c r="X103" i="2"/>
  <c r="X87" i="2"/>
  <c r="X71" i="2"/>
  <c r="X55" i="2"/>
  <c r="X39" i="2"/>
  <c r="X23" i="2"/>
  <c r="X7" i="2"/>
  <c r="X47" i="2"/>
  <c r="X204" i="2"/>
  <c r="X28" i="2"/>
  <c r="X246" i="2"/>
  <c r="X230" i="2"/>
  <c r="X214" i="2"/>
  <c r="X198" i="2"/>
  <c r="X182" i="2"/>
  <c r="X166" i="2"/>
  <c r="X150" i="2"/>
  <c r="X134" i="2"/>
  <c r="X118" i="2"/>
  <c r="X102" i="2"/>
  <c r="X86" i="2"/>
  <c r="X70" i="2"/>
  <c r="X54" i="2"/>
  <c r="X38" i="2"/>
  <c r="X22" i="2"/>
  <c r="X6" i="2"/>
  <c r="X207" i="2"/>
  <c r="X191" i="2"/>
  <c r="X143" i="2"/>
  <c r="X95" i="2"/>
  <c r="X156" i="2"/>
  <c r="X44" i="2"/>
  <c r="X245" i="2"/>
  <c r="X229" i="2"/>
  <c r="X213" i="2"/>
  <c r="X197" i="2"/>
  <c r="X181" i="2"/>
  <c r="X165" i="2"/>
  <c r="X149" i="2"/>
  <c r="X133" i="2"/>
  <c r="X117" i="2"/>
  <c r="X101" i="2"/>
  <c r="X85" i="2"/>
  <c r="X69" i="2"/>
  <c r="X53" i="2"/>
  <c r="X37" i="2"/>
  <c r="X159" i="2"/>
  <c r="X63" i="2"/>
  <c r="X236" i="2"/>
  <c r="X172" i="2"/>
  <c r="X92" i="2"/>
  <c r="X244" i="2"/>
  <c r="X228" i="2"/>
  <c r="X212" i="2"/>
  <c r="X196" i="2"/>
  <c r="X180" i="2"/>
  <c r="X164" i="2"/>
  <c r="X148" i="2"/>
  <c r="X132" i="2"/>
  <c r="X116" i="2"/>
  <c r="X100" i="2"/>
  <c r="X84" i="2"/>
  <c r="X68" i="2"/>
  <c r="X52" i="2"/>
  <c r="X36" i="2"/>
  <c r="X20" i="2"/>
  <c r="X4" i="2"/>
  <c r="X223" i="2"/>
  <c r="X175" i="2"/>
  <c r="X79" i="2"/>
  <c r="X220" i="2"/>
  <c r="X140" i="2"/>
  <c r="X60" i="2"/>
  <c r="X243" i="2"/>
  <c r="X227" i="2"/>
  <c r="X211" i="2"/>
  <c r="X195" i="2"/>
  <c r="X179" i="2"/>
  <c r="X163" i="2"/>
  <c r="X147" i="2"/>
  <c r="X131" i="2"/>
  <c r="X115" i="2"/>
  <c r="X99" i="2"/>
  <c r="X83" i="2"/>
  <c r="X67" i="2"/>
  <c r="X51" i="2"/>
  <c r="X35" i="2"/>
  <c r="X19" i="2"/>
  <c r="X3" i="2"/>
  <c r="V242" i="2"/>
  <c r="V161" i="2"/>
  <c r="V80" i="2"/>
  <c r="X2" i="2"/>
  <c r="V241" i="2"/>
  <c r="V160" i="2"/>
  <c r="V66" i="2"/>
  <c r="V240" i="2"/>
  <c r="V146" i="2"/>
  <c r="V65" i="2"/>
  <c r="V226" i="2"/>
  <c r="V145" i="2"/>
  <c r="V64" i="2"/>
  <c r="V225" i="2"/>
  <c r="V144" i="2"/>
  <c r="V50" i="2"/>
  <c r="V224" i="2"/>
  <c r="V130" i="2"/>
  <c r="V49" i="2"/>
  <c r="V210" i="2"/>
  <c r="V129" i="2"/>
  <c r="V48" i="2"/>
  <c r="V209" i="2"/>
  <c r="V128" i="2"/>
  <c r="V34" i="2"/>
  <c r="V208" i="2"/>
  <c r="V114" i="2"/>
  <c r="V33" i="2"/>
  <c r="V194" i="2"/>
  <c r="V113" i="2"/>
  <c r="V32" i="2"/>
  <c r="V193" i="2"/>
  <c r="V112" i="2"/>
  <c r="V24" i="2"/>
  <c r="V192" i="2"/>
  <c r="V98" i="2"/>
  <c r="V18" i="2"/>
  <c r="V178" i="2"/>
  <c r="V97" i="2"/>
  <c r="V17" i="2"/>
  <c r="V177" i="2"/>
  <c r="V96" i="2"/>
  <c r="V16" i="2"/>
  <c r="V176" i="2"/>
  <c r="V82" i="2"/>
  <c r="V8" i="2"/>
  <c r="V162" i="2"/>
  <c r="V81" i="2"/>
  <c r="V239" i="2"/>
  <c r="V223" i="2"/>
  <c r="V207" i="2"/>
  <c r="V191" i="2"/>
  <c r="V175" i="2"/>
  <c r="V159" i="2"/>
  <c r="V143" i="2"/>
  <c r="V127" i="2"/>
  <c r="V111" i="2"/>
  <c r="V95" i="2"/>
  <c r="V79" i="2"/>
  <c r="V63" i="2"/>
  <c r="V47" i="2"/>
  <c r="V31" i="2"/>
  <c r="V15" i="2"/>
  <c r="V238" i="2"/>
  <c r="V222" i="2"/>
  <c r="V206" i="2"/>
  <c r="V190" i="2"/>
  <c r="V174" i="2"/>
  <c r="V158" i="2"/>
  <c r="V142" i="2"/>
  <c r="V126" i="2"/>
  <c r="V110" i="2"/>
  <c r="V94" i="2"/>
  <c r="V78" i="2"/>
  <c r="V62" i="2"/>
  <c r="V46" i="2"/>
  <c r="V30" i="2"/>
  <c r="V14" i="2"/>
  <c r="V237" i="2"/>
  <c r="V221" i="2"/>
  <c r="V205" i="2"/>
  <c r="V189" i="2"/>
  <c r="V173" i="2"/>
  <c r="V157" i="2"/>
  <c r="V141" i="2"/>
  <c r="V125" i="2"/>
  <c r="V109" i="2"/>
  <c r="V93" i="2"/>
  <c r="V77" i="2"/>
  <c r="V61" i="2"/>
  <c r="V45" i="2"/>
  <c r="V29" i="2"/>
  <c r="V13" i="2"/>
  <c r="V236" i="2"/>
  <c r="V220" i="2"/>
  <c r="V204" i="2"/>
  <c r="V188" i="2"/>
  <c r="V172" i="2"/>
  <c r="V156" i="2"/>
  <c r="V140" i="2"/>
  <c r="V124" i="2"/>
  <c r="V108" i="2"/>
  <c r="V92" i="2"/>
  <c r="V76" i="2"/>
  <c r="V60" i="2"/>
  <c r="V44" i="2"/>
  <c r="V28" i="2"/>
  <c r="V12" i="2"/>
  <c r="V251" i="2"/>
  <c r="V235" i="2"/>
  <c r="V219" i="2"/>
  <c r="V203" i="2"/>
  <c r="V187" i="2"/>
  <c r="V171" i="2"/>
  <c r="V155" i="2"/>
  <c r="V139" i="2"/>
  <c r="V123" i="2"/>
  <c r="V107" i="2"/>
  <c r="V91" i="2"/>
  <c r="V75" i="2"/>
  <c r="V59" i="2"/>
  <c r="V43" i="2"/>
  <c r="V27" i="2"/>
  <c r="V11" i="2"/>
  <c r="V250" i="2"/>
  <c r="V234" i="2"/>
  <c r="V218" i="2"/>
  <c r="V202" i="2"/>
  <c r="V186" i="2"/>
  <c r="V170" i="2"/>
  <c r="V154" i="2"/>
  <c r="V138" i="2"/>
  <c r="V122" i="2"/>
  <c r="V106" i="2"/>
  <c r="V90" i="2"/>
  <c r="V74" i="2"/>
  <c r="V58" i="2"/>
  <c r="V42" i="2"/>
  <c r="V26" i="2"/>
  <c r="V10" i="2"/>
  <c r="V249" i="2"/>
  <c r="V233" i="2"/>
  <c r="V217" i="2"/>
  <c r="V201" i="2"/>
  <c r="V185" i="2"/>
  <c r="V169" i="2"/>
  <c r="V153" i="2"/>
  <c r="V137" i="2"/>
  <c r="V121" i="2"/>
  <c r="V105" i="2"/>
  <c r="V89" i="2"/>
  <c r="V73" i="2"/>
  <c r="V57" i="2"/>
  <c r="V41" i="2"/>
  <c r="V25" i="2"/>
  <c r="V9" i="2"/>
  <c r="V248" i="2"/>
  <c r="V232" i="2"/>
  <c r="V216" i="2"/>
  <c r="V200" i="2"/>
  <c r="V184" i="2"/>
  <c r="V168" i="2"/>
  <c r="V152" i="2"/>
  <c r="V136" i="2"/>
  <c r="V120" i="2"/>
  <c r="V104" i="2"/>
  <c r="V88" i="2"/>
  <c r="V72" i="2"/>
  <c r="V56" i="2"/>
  <c r="V40" i="2"/>
  <c r="V247" i="2"/>
  <c r="V231" i="2"/>
  <c r="V215" i="2"/>
  <c r="V199" i="2"/>
  <c r="V183" i="2"/>
  <c r="V167" i="2"/>
  <c r="V151" i="2"/>
  <c r="V135" i="2"/>
  <c r="V119" i="2"/>
  <c r="V103" i="2"/>
  <c r="V87" i="2"/>
  <c r="V71" i="2"/>
  <c r="V55" i="2"/>
  <c r="V39" i="2"/>
  <c r="V23" i="2"/>
  <c r="V7" i="2"/>
  <c r="V246" i="2"/>
  <c r="V230" i="2"/>
  <c r="V214" i="2"/>
  <c r="V198" i="2"/>
  <c r="V182" i="2"/>
  <c r="V166" i="2"/>
  <c r="V150" i="2"/>
  <c r="V134" i="2"/>
  <c r="V118" i="2"/>
  <c r="V102" i="2"/>
  <c r="V86" i="2"/>
  <c r="V70" i="2"/>
  <c r="V54" i="2"/>
  <c r="V38" i="2"/>
  <c r="V22" i="2"/>
  <c r="V6" i="2"/>
  <c r="V245" i="2"/>
  <c r="V229" i="2"/>
  <c r="V213" i="2"/>
  <c r="V197" i="2"/>
  <c r="V181" i="2"/>
  <c r="V165" i="2"/>
  <c r="V149" i="2"/>
  <c r="V133" i="2"/>
  <c r="V117" i="2"/>
  <c r="V101" i="2"/>
  <c r="V85" i="2"/>
  <c r="V69" i="2"/>
  <c r="V53" i="2"/>
  <c r="V37" i="2"/>
  <c r="V21" i="2"/>
  <c r="V5" i="2"/>
  <c r="V244" i="2"/>
  <c r="V228" i="2"/>
  <c r="V212" i="2"/>
  <c r="V196" i="2"/>
  <c r="V180" i="2"/>
  <c r="V164" i="2"/>
  <c r="V148" i="2"/>
  <c r="V132" i="2"/>
  <c r="V116" i="2"/>
  <c r="V100" i="2"/>
  <c r="V84" i="2"/>
  <c r="V68" i="2"/>
  <c r="V52" i="2"/>
  <c r="V36" i="2"/>
  <c r="V20" i="2"/>
  <c r="V4" i="2"/>
  <c r="V243" i="2"/>
  <c r="V227" i="2"/>
  <c r="V211" i="2"/>
  <c r="V195" i="2"/>
  <c r="V179" i="2"/>
  <c r="V163" i="2"/>
  <c r="V147" i="2"/>
  <c r="V131" i="2"/>
  <c r="V115" i="2"/>
  <c r="V99" i="2"/>
  <c r="V83" i="2"/>
  <c r="V67" i="2"/>
  <c r="V51" i="2"/>
  <c r="V35" i="2"/>
  <c r="V19" i="2"/>
  <c r="V3" i="2"/>
  <c r="P209" i="2"/>
  <c r="Q209" i="2" s="1" a="1"/>
  <c r="Q209" i="2" s="1"/>
  <c r="P171" i="2"/>
  <c r="Q171" i="2" s="1" a="1"/>
  <c r="Q171" i="2" s="1"/>
  <c r="P126" i="2"/>
  <c r="Q126" i="2" s="1" a="1"/>
  <c r="Q126" i="2" s="1"/>
  <c r="P81" i="2"/>
  <c r="Q81" i="2" s="1" a="1"/>
  <c r="Q81" i="2" s="1"/>
  <c r="P43" i="2"/>
  <c r="Q43" i="2" s="1" a="1"/>
  <c r="Q43" i="2" s="1"/>
  <c r="P34" i="2"/>
  <c r="Q34" i="2" s="1" a="1"/>
  <c r="Q34" i="2" s="1"/>
  <c r="P208" i="2"/>
  <c r="Q208" i="2" s="1" a="1"/>
  <c r="Q208" i="2" s="1"/>
  <c r="P162" i="2"/>
  <c r="Q162" i="2" s="1" a="1"/>
  <c r="Q162" i="2" s="1"/>
  <c r="P125" i="2"/>
  <c r="Q125" i="2" s="1" a="1"/>
  <c r="Q125" i="2" s="1"/>
  <c r="P80" i="2"/>
  <c r="Q80" i="2" s="1" a="1"/>
  <c r="Q80" i="2" s="1"/>
  <c r="P251" i="2"/>
  <c r="Q251" i="2" s="1" a="1"/>
  <c r="Q251" i="2" s="1"/>
  <c r="P206" i="2"/>
  <c r="Q206" i="2" s="1" a="1"/>
  <c r="Q206" i="2" s="1"/>
  <c r="P161" i="2"/>
  <c r="Q161" i="2" s="1" a="1"/>
  <c r="Q161" i="2" s="1"/>
  <c r="P123" i="2"/>
  <c r="Q123" i="2" s="1" a="1"/>
  <c r="Q123" i="2" s="1"/>
  <c r="P78" i="2"/>
  <c r="Q78" i="2" s="1" a="1"/>
  <c r="Q78" i="2" s="1"/>
  <c r="P33" i="2"/>
  <c r="Q33" i="2" s="1" a="1"/>
  <c r="Q33" i="2" s="1"/>
  <c r="P242" i="2"/>
  <c r="Q242" i="2" s="1" a="1"/>
  <c r="Q242" i="2" s="1"/>
  <c r="P205" i="2"/>
  <c r="Q205" i="2" s="1" a="1"/>
  <c r="Q205" i="2" s="1"/>
  <c r="P160" i="2"/>
  <c r="Q160" i="2" s="1" a="1"/>
  <c r="Q160" i="2" s="1"/>
  <c r="P114" i="2"/>
  <c r="Q114" i="2" s="1" a="1"/>
  <c r="Q114" i="2" s="1"/>
  <c r="P77" i="2"/>
  <c r="Q77" i="2" s="1" a="1"/>
  <c r="Q77" i="2" s="1"/>
  <c r="P32" i="2"/>
  <c r="Q32" i="2" s="1" a="1"/>
  <c r="Q32" i="2" s="1"/>
  <c r="P241" i="2"/>
  <c r="Q241" i="2" s="1" a="1"/>
  <c r="Q241" i="2" s="1"/>
  <c r="P203" i="2"/>
  <c r="Q203" i="2" s="1" a="1"/>
  <c r="Q203" i="2" s="1"/>
  <c r="P158" i="2"/>
  <c r="Q158" i="2" s="1" a="1"/>
  <c r="Q158" i="2" s="1"/>
  <c r="P113" i="2"/>
  <c r="Q113" i="2" s="1" a="1"/>
  <c r="Q113" i="2" s="1"/>
  <c r="P75" i="2"/>
  <c r="Q75" i="2" s="1" a="1"/>
  <c r="Q75" i="2" s="1"/>
  <c r="P30" i="2"/>
  <c r="Q30" i="2" s="1" a="1"/>
  <c r="Q30" i="2" s="1"/>
  <c r="P240" i="2"/>
  <c r="Q240" i="2" s="1" a="1"/>
  <c r="Q240" i="2" s="1"/>
  <c r="P194" i="2"/>
  <c r="Q194" i="2" s="1" a="1"/>
  <c r="Q194" i="2" s="1"/>
  <c r="P157" i="2"/>
  <c r="Q157" i="2" s="1" a="1"/>
  <c r="Q157" i="2" s="1"/>
  <c r="P112" i="2"/>
  <c r="Q112" i="2" s="1" a="1"/>
  <c r="Q112" i="2" s="1"/>
  <c r="P66" i="2"/>
  <c r="Q66" i="2" s="1" a="1"/>
  <c r="Q66" i="2" s="1"/>
  <c r="P29" i="2"/>
  <c r="Q29" i="2" s="1" a="1"/>
  <c r="Q29" i="2" s="1"/>
  <c r="P238" i="2"/>
  <c r="Q238" i="2" s="1" a="1"/>
  <c r="Q238" i="2" s="1"/>
  <c r="P193" i="2"/>
  <c r="Q193" i="2" s="1" a="1"/>
  <c r="Q193" i="2" s="1"/>
  <c r="P155" i="2"/>
  <c r="Q155" i="2" s="1" a="1"/>
  <c r="Q155" i="2" s="1"/>
  <c r="P110" i="2"/>
  <c r="Q110" i="2" s="1" a="1"/>
  <c r="Q110" i="2" s="1"/>
  <c r="P65" i="2"/>
  <c r="Q65" i="2" s="1" a="1"/>
  <c r="Q65" i="2" s="1"/>
  <c r="P27" i="2"/>
  <c r="Q27" i="2" s="1" a="1"/>
  <c r="Q27" i="2" s="1"/>
  <c r="P237" i="2"/>
  <c r="Q237" i="2" s="1" a="1"/>
  <c r="Q237" i="2" s="1"/>
  <c r="P192" i="2"/>
  <c r="Q192" i="2" s="1" a="1"/>
  <c r="Q192" i="2" s="1"/>
  <c r="P146" i="2"/>
  <c r="Q146" i="2" s="1" a="1"/>
  <c r="Q146" i="2" s="1"/>
  <c r="P109" i="2"/>
  <c r="Q109" i="2" s="1" a="1"/>
  <c r="Q109" i="2" s="1"/>
  <c r="P64" i="2"/>
  <c r="Q64" i="2" s="1" a="1"/>
  <c r="Q64" i="2" s="1"/>
  <c r="P21" i="2"/>
  <c r="Q21" i="2" s="1" a="1"/>
  <c r="Q21" i="2" s="1"/>
  <c r="P235" i="2"/>
  <c r="Q235" i="2" s="1" a="1"/>
  <c r="Q235" i="2" s="1"/>
  <c r="P190" i="2"/>
  <c r="Q190" i="2" s="1" a="1"/>
  <c r="Q190" i="2" s="1"/>
  <c r="P145" i="2"/>
  <c r="Q145" i="2" s="1" a="1"/>
  <c r="Q145" i="2" s="1"/>
  <c r="P107" i="2"/>
  <c r="Q107" i="2" s="1" a="1"/>
  <c r="Q107" i="2" s="1"/>
  <c r="P62" i="2"/>
  <c r="Q62" i="2" s="1" a="1"/>
  <c r="Q62" i="2" s="1"/>
  <c r="P18" i="2"/>
  <c r="Q18" i="2" s="1" a="1"/>
  <c r="Q18" i="2" s="1"/>
  <c r="P226" i="2"/>
  <c r="Q226" i="2" s="1" a="1"/>
  <c r="Q226" i="2" s="1"/>
  <c r="P189" i="2"/>
  <c r="Q189" i="2" s="1" a="1"/>
  <c r="Q189" i="2" s="1"/>
  <c r="P144" i="2"/>
  <c r="Q144" i="2" s="1" a="1"/>
  <c r="Q144" i="2" s="1"/>
  <c r="P98" i="2"/>
  <c r="Q98" i="2" s="1" a="1"/>
  <c r="Q98" i="2" s="1"/>
  <c r="P61" i="2"/>
  <c r="Q61" i="2" s="1" a="1"/>
  <c r="Q61" i="2" s="1"/>
  <c r="P17" i="2"/>
  <c r="Q17" i="2" s="1" a="1"/>
  <c r="Q17" i="2" s="1"/>
  <c r="P225" i="2"/>
  <c r="Q225" i="2" s="1" a="1"/>
  <c r="Q225" i="2" s="1"/>
  <c r="P187" i="2"/>
  <c r="Q187" i="2" s="1" a="1"/>
  <c r="Q187" i="2" s="1"/>
  <c r="P142" i="2"/>
  <c r="Q142" i="2" s="1" a="1"/>
  <c r="Q142" i="2" s="1"/>
  <c r="P97" i="2"/>
  <c r="Q97" i="2" s="1" a="1"/>
  <c r="Q97" i="2" s="1"/>
  <c r="P59" i="2"/>
  <c r="Q59" i="2" s="1" a="1"/>
  <c r="Q59" i="2" s="1"/>
  <c r="P16" i="2"/>
  <c r="Q16" i="2" s="1" a="1"/>
  <c r="Q16" i="2" s="1"/>
  <c r="P224" i="2"/>
  <c r="Q224" i="2" s="1" a="1"/>
  <c r="Q224" i="2" s="1"/>
  <c r="P178" i="2"/>
  <c r="Q178" i="2" s="1" a="1"/>
  <c r="Q178" i="2" s="1"/>
  <c r="P141" i="2"/>
  <c r="Q141" i="2" s="1" a="1"/>
  <c r="Q141" i="2" s="1"/>
  <c r="P96" i="2"/>
  <c r="Q96" i="2" s="1" a="1"/>
  <c r="Q96" i="2" s="1"/>
  <c r="P50" i="2"/>
  <c r="Q50" i="2" s="1" a="1"/>
  <c r="Q50" i="2" s="1"/>
  <c r="P14" i="2"/>
  <c r="Q14" i="2" s="1" a="1"/>
  <c r="Q14" i="2" s="1"/>
  <c r="P222" i="2"/>
  <c r="Q222" i="2" s="1" a="1"/>
  <c r="Q222" i="2" s="1"/>
  <c r="P177" i="2"/>
  <c r="Q177" i="2" s="1" a="1"/>
  <c r="Q177" i="2" s="1"/>
  <c r="P139" i="2"/>
  <c r="Q139" i="2" s="1" a="1"/>
  <c r="Q139" i="2" s="1"/>
  <c r="P94" i="2"/>
  <c r="Q94" i="2" s="1" a="1"/>
  <c r="Q94" i="2" s="1"/>
  <c r="P49" i="2"/>
  <c r="Q49" i="2" s="1" a="1"/>
  <c r="Q49" i="2" s="1"/>
  <c r="P13" i="2"/>
  <c r="Q13" i="2" s="1" a="1"/>
  <c r="Q13" i="2" s="1"/>
  <c r="P221" i="2"/>
  <c r="Q221" i="2" s="1" a="1"/>
  <c r="Q221" i="2" s="1"/>
  <c r="P176" i="2"/>
  <c r="Q176" i="2" s="1" a="1"/>
  <c r="Q176" i="2" s="1"/>
  <c r="P130" i="2"/>
  <c r="Q130" i="2" s="1" a="1"/>
  <c r="Q130" i="2" s="1"/>
  <c r="P93" i="2"/>
  <c r="Q93" i="2" s="1" a="1"/>
  <c r="Q93" i="2" s="1"/>
  <c r="P48" i="2"/>
  <c r="Q48" i="2" s="1" a="1"/>
  <c r="Q48" i="2" s="1"/>
  <c r="P11" i="2"/>
  <c r="Q11" i="2" s="1" a="1"/>
  <c r="Q11" i="2" s="1"/>
  <c r="P219" i="2"/>
  <c r="Q219" i="2" s="1" a="1"/>
  <c r="Q219" i="2" s="1"/>
  <c r="P174" i="2"/>
  <c r="Q174" i="2" s="1" a="1"/>
  <c r="Q174" i="2" s="1"/>
  <c r="P129" i="2"/>
  <c r="Q129" i="2" s="1" a="1"/>
  <c r="Q129" i="2" s="1"/>
  <c r="P91" i="2"/>
  <c r="Q91" i="2" s="1" a="1"/>
  <c r="Q91" i="2" s="1"/>
  <c r="P46" i="2"/>
  <c r="Q46" i="2" s="1" a="1"/>
  <c r="Q46" i="2" s="1"/>
  <c r="P5" i="2"/>
  <c r="Q5" i="2" s="1" a="1"/>
  <c r="Q5" i="2" s="1"/>
  <c r="P210" i="2"/>
  <c r="Q210" i="2" s="1" a="1"/>
  <c r="Q210" i="2" s="1"/>
  <c r="P173" i="2"/>
  <c r="Q173" i="2" s="1" a="1"/>
  <c r="Q173" i="2" s="1"/>
  <c r="P128" i="2"/>
  <c r="Q128" i="2" s="1" a="1"/>
  <c r="Q128" i="2" s="1"/>
  <c r="P82" i="2"/>
  <c r="Q82" i="2" s="1" a="1"/>
  <c r="Q82" i="2" s="1"/>
  <c r="P45" i="2"/>
  <c r="Q45" i="2" s="1" a="1"/>
  <c r="Q45" i="2" s="1"/>
  <c r="P47" i="2"/>
  <c r="Q47" i="2" s="1" a="1"/>
  <c r="Q47" i="2" s="1"/>
  <c r="P220" i="2"/>
  <c r="Q220" i="2" s="1" a="1"/>
  <c r="Q220" i="2" s="1"/>
  <c r="P172" i="2"/>
  <c r="Q172" i="2" s="1" a="1"/>
  <c r="Q172" i="2" s="1"/>
  <c r="P28" i="2"/>
  <c r="Q28" i="2" s="1" a="1"/>
  <c r="Q28" i="2" s="1"/>
  <c r="P250" i="2"/>
  <c r="Q250" i="2" s="1" a="1"/>
  <c r="Q250" i="2" s="1"/>
  <c r="P234" i="2"/>
  <c r="Q234" i="2" s="1" a="1"/>
  <c r="Q234" i="2" s="1"/>
  <c r="P218" i="2"/>
  <c r="Q218" i="2" s="1" a="1"/>
  <c r="Q218" i="2" s="1"/>
  <c r="P202" i="2"/>
  <c r="Q202" i="2" s="1" a="1"/>
  <c r="Q202" i="2" s="1"/>
  <c r="P186" i="2"/>
  <c r="Q186" i="2" s="1" a="1"/>
  <c r="Q186" i="2" s="1"/>
  <c r="P170" i="2"/>
  <c r="Q170" i="2" s="1" a="1"/>
  <c r="Q170" i="2" s="1"/>
  <c r="P154" i="2"/>
  <c r="Q154" i="2" s="1" a="1"/>
  <c r="Q154" i="2" s="1"/>
  <c r="P138" i="2"/>
  <c r="Q138" i="2" s="1" a="1"/>
  <c r="Q138" i="2" s="1"/>
  <c r="P122" i="2"/>
  <c r="Q122" i="2" s="1" a="1"/>
  <c r="Q122" i="2" s="1"/>
  <c r="P106" i="2"/>
  <c r="Q106" i="2" s="1" a="1"/>
  <c r="Q106" i="2" s="1"/>
  <c r="P90" i="2"/>
  <c r="Q90" i="2" s="1" a="1"/>
  <c r="Q90" i="2" s="1"/>
  <c r="P74" i="2"/>
  <c r="Q74" i="2" s="1" a="1"/>
  <c r="Q74" i="2" s="1"/>
  <c r="P58" i="2"/>
  <c r="Q58" i="2" s="1" a="1"/>
  <c r="Q58" i="2" s="1"/>
  <c r="P42" i="2"/>
  <c r="Q42" i="2" s="1" a="1"/>
  <c r="Q42" i="2" s="1"/>
  <c r="P26" i="2"/>
  <c r="Q26" i="2" s="1" a="1"/>
  <c r="Q26" i="2" s="1"/>
  <c r="P10" i="2"/>
  <c r="Q10" i="2" s="1" a="1"/>
  <c r="Q10" i="2" s="1"/>
  <c r="P63" i="2"/>
  <c r="Q63" i="2" s="1" a="1"/>
  <c r="Q63" i="2" s="1"/>
  <c r="P204" i="2"/>
  <c r="Q204" i="2" s="1" a="1"/>
  <c r="Q204" i="2" s="1"/>
  <c r="P44" i="2"/>
  <c r="Q44" i="2" s="1" a="1"/>
  <c r="Q44" i="2" s="1"/>
  <c r="P249" i="2"/>
  <c r="Q249" i="2" s="1" a="1"/>
  <c r="Q249" i="2" s="1"/>
  <c r="P233" i="2"/>
  <c r="Q233" i="2" s="1" a="1"/>
  <c r="Q233" i="2" s="1"/>
  <c r="P217" i="2"/>
  <c r="Q217" i="2" s="1" a="1"/>
  <c r="Q217" i="2" s="1"/>
  <c r="P201" i="2"/>
  <c r="Q201" i="2" s="1" a="1"/>
  <c r="Q201" i="2" s="1"/>
  <c r="P185" i="2"/>
  <c r="Q185" i="2" s="1" a="1"/>
  <c r="Q185" i="2" s="1"/>
  <c r="P169" i="2"/>
  <c r="Q169" i="2" s="1" a="1"/>
  <c r="Q169" i="2" s="1"/>
  <c r="P153" i="2"/>
  <c r="Q153" i="2" s="1" a="1"/>
  <c r="Q153" i="2" s="1"/>
  <c r="P137" i="2"/>
  <c r="Q137" i="2" s="1" a="1"/>
  <c r="Q137" i="2" s="1"/>
  <c r="P121" i="2"/>
  <c r="Q121" i="2" s="1" a="1"/>
  <c r="Q121" i="2" s="1"/>
  <c r="P105" i="2"/>
  <c r="Q105" i="2" s="1" a="1"/>
  <c r="Q105" i="2" s="1"/>
  <c r="P89" i="2"/>
  <c r="Q89" i="2" s="1" a="1"/>
  <c r="Q89" i="2" s="1"/>
  <c r="P73" i="2"/>
  <c r="Q73" i="2" s="1" a="1"/>
  <c r="Q73" i="2" s="1"/>
  <c r="P57" i="2"/>
  <c r="Q57" i="2" s="1" a="1"/>
  <c r="Q57" i="2" s="1"/>
  <c r="P41" i="2"/>
  <c r="Q41" i="2" s="1" a="1"/>
  <c r="Q41" i="2" s="1"/>
  <c r="P25" i="2"/>
  <c r="Q25" i="2" s="1" a="1"/>
  <c r="Q25" i="2" s="1"/>
  <c r="P9" i="2"/>
  <c r="Q9" i="2" s="1" a="1"/>
  <c r="Q9" i="2" s="1"/>
  <c r="P207" i="2"/>
  <c r="Q207" i="2" s="1" a="1"/>
  <c r="Q207" i="2" s="1"/>
  <c r="P159" i="2"/>
  <c r="Q159" i="2" s="1" a="1"/>
  <c r="Q159" i="2" s="1"/>
  <c r="P79" i="2"/>
  <c r="Q79" i="2" s="1" a="1"/>
  <c r="Q79" i="2" s="1"/>
  <c r="P236" i="2"/>
  <c r="Q236" i="2" s="1" a="1"/>
  <c r="Q236" i="2" s="1"/>
  <c r="P156" i="2"/>
  <c r="Q156" i="2" s="1" a="1"/>
  <c r="Q156" i="2" s="1"/>
  <c r="P12" i="2"/>
  <c r="Q12" i="2" s="1" a="1"/>
  <c r="Q12" i="2" s="1"/>
  <c r="P248" i="2"/>
  <c r="Q248" i="2" s="1" a="1"/>
  <c r="Q248" i="2" s="1"/>
  <c r="P232" i="2"/>
  <c r="Q232" i="2" s="1" a="1"/>
  <c r="Q232" i="2" s="1"/>
  <c r="P216" i="2"/>
  <c r="Q216" i="2" s="1" a="1"/>
  <c r="Q216" i="2" s="1"/>
  <c r="P200" i="2"/>
  <c r="Q200" i="2" s="1" a="1"/>
  <c r="Q200" i="2" s="1"/>
  <c r="P184" i="2"/>
  <c r="Q184" i="2" s="1" a="1"/>
  <c r="Q184" i="2" s="1"/>
  <c r="P168" i="2"/>
  <c r="Q168" i="2" s="1" a="1"/>
  <c r="Q168" i="2" s="1"/>
  <c r="P152" i="2"/>
  <c r="Q152" i="2" s="1" a="1"/>
  <c r="Q152" i="2" s="1"/>
  <c r="P136" i="2"/>
  <c r="Q136" i="2" s="1" a="1"/>
  <c r="Q136" i="2" s="1"/>
  <c r="P120" i="2"/>
  <c r="Q120" i="2" s="1" a="1"/>
  <c r="Q120" i="2" s="1"/>
  <c r="P104" i="2"/>
  <c r="Q104" i="2" s="1" a="1"/>
  <c r="Q104" i="2" s="1"/>
  <c r="P88" i="2"/>
  <c r="Q88" i="2" s="1" a="1"/>
  <c r="Q88" i="2" s="1"/>
  <c r="P72" i="2"/>
  <c r="Q72" i="2" s="1" a="1"/>
  <c r="Q72" i="2" s="1"/>
  <c r="P56" i="2"/>
  <c r="Q56" i="2" s="1" a="1"/>
  <c r="Q56" i="2" s="1"/>
  <c r="P40" i="2"/>
  <c r="Q40" i="2" s="1" a="1"/>
  <c r="Q40" i="2" s="1"/>
  <c r="P24" i="2"/>
  <c r="Q24" i="2" s="1" a="1"/>
  <c r="Q24" i="2" s="1"/>
  <c r="P8" i="2"/>
  <c r="Q8" i="2" s="1" a="1"/>
  <c r="Q8" i="2" s="1"/>
  <c r="P191" i="2"/>
  <c r="Q191" i="2" s="1" a="1"/>
  <c r="Q191" i="2" s="1"/>
  <c r="P31" i="2"/>
  <c r="Q31" i="2" s="1" a="1"/>
  <c r="Q31" i="2" s="1"/>
  <c r="P188" i="2"/>
  <c r="Q188" i="2" s="1" a="1"/>
  <c r="Q188" i="2" s="1"/>
  <c r="P140" i="2"/>
  <c r="Q140" i="2" s="1" a="1"/>
  <c r="Q140" i="2" s="1"/>
  <c r="P60" i="2"/>
  <c r="Q60" i="2" s="1" a="1"/>
  <c r="Q60" i="2" s="1"/>
  <c r="P247" i="2"/>
  <c r="Q247" i="2" s="1" a="1"/>
  <c r="Q247" i="2" s="1"/>
  <c r="P231" i="2"/>
  <c r="Q231" i="2" s="1" a="1"/>
  <c r="Q231" i="2" s="1"/>
  <c r="P215" i="2"/>
  <c r="Q215" i="2" s="1" a="1"/>
  <c r="Q215" i="2" s="1"/>
  <c r="P199" i="2"/>
  <c r="Q199" i="2" s="1" a="1"/>
  <c r="Q199" i="2" s="1"/>
  <c r="P183" i="2"/>
  <c r="Q183" i="2" s="1" a="1"/>
  <c r="Q183" i="2" s="1"/>
  <c r="P167" i="2"/>
  <c r="Q167" i="2" s="1" a="1"/>
  <c r="Q167" i="2" s="1"/>
  <c r="P151" i="2"/>
  <c r="Q151" i="2" s="1" a="1"/>
  <c r="Q151" i="2" s="1"/>
  <c r="P135" i="2"/>
  <c r="Q135" i="2" s="1" a="1"/>
  <c r="Q135" i="2" s="1"/>
  <c r="P119" i="2"/>
  <c r="Q119" i="2" s="1" a="1"/>
  <c r="Q119" i="2" s="1"/>
  <c r="P103" i="2"/>
  <c r="Q103" i="2" s="1" a="1"/>
  <c r="Q103" i="2" s="1"/>
  <c r="P87" i="2"/>
  <c r="Q87" i="2" s="1" a="1"/>
  <c r="Q87" i="2" s="1"/>
  <c r="P71" i="2"/>
  <c r="Q71" i="2" s="1" a="1"/>
  <c r="Q71" i="2" s="1"/>
  <c r="P55" i="2"/>
  <c r="Q55" i="2" s="1" a="1"/>
  <c r="Q55" i="2" s="1"/>
  <c r="P39" i="2"/>
  <c r="Q39" i="2" s="1" a="1"/>
  <c r="Q39" i="2" s="1"/>
  <c r="P23" i="2"/>
  <c r="Q23" i="2" s="1" a="1"/>
  <c r="Q23" i="2" s="1"/>
  <c r="P7" i="2"/>
  <c r="Q7" i="2" s="1" a="1"/>
  <c r="Q7" i="2" s="1"/>
  <c r="P239" i="2"/>
  <c r="Q239" i="2" s="1" a="1"/>
  <c r="Q239" i="2" s="1"/>
  <c r="P15" i="2"/>
  <c r="Q15" i="2" s="1" a="1"/>
  <c r="Q15" i="2" s="1"/>
  <c r="P108" i="2"/>
  <c r="Q108" i="2" s="1" a="1"/>
  <c r="Q108" i="2" s="1"/>
  <c r="P246" i="2"/>
  <c r="Q246" i="2" s="1" a="1"/>
  <c r="Q246" i="2" s="1"/>
  <c r="P230" i="2"/>
  <c r="Q230" i="2" s="1" a="1"/>
  <c r="Q230" i="2" s="1"/>
  <c r="P214" i="2"/>
  <c r="Q214" i="2" s="1" a="1"/>
  <c r="Q214" i="2" s="1"/>
  <c r="P198" i="2"/>
  <c r="Q198" i="2" s="1" a="1"/>
  <c r="Q198" i="2" s="1"/>
  <c r="P182" i="2"/>
  <c r="Q182" i="2" s="1" a="1"/>
  <c r="Q182" i="2" s="1"/>
  <c r="P166" i="2"/>
  <c r="Q166" i="2" s="1" a="1"/>
  <c r="Q166" i="2" s="1"/>
  <c r="P150" i="2"/>
  <c r="Q150" i="2" s="1" a="1"/>
  <c r="Q150" i="2" s="1"/>
  <c r="P134" i="2"/>
  <c r="Q134" i="2" s="1" a="1"/>
  <c r="Q134" i="2" s="1"/>
  <c r="P118" i="2"/>
  <c r="Q118" i="2" s="1" a="1"/>
  <c r="Q118" i="2" s="1"/>
  <c r="P102" i="2"/>
  <c r="Q102" i="2" s="1" a="1"/>
  <c r="Q102" i="2" s="1"/>
  <c r="P86" i="2"/>
  <c r="Q86" i="2" s="1" a="1"/>
  <c r="Q86" i="2" s="1"/>
  <c r="P70" i="2"/>
  <c r="Q70" i="2" s="1" a="1"/>
  <c r="Q70" i="2" s="1"/>
  <c r="P54" i="2"/>
  <c r="Q54" i="2" s="1" a="1"/>
  <c r="Q54" i="2" s="1"/>
  <c r="P38" i="2"/>
  <c r="Q38" i="2" s="1" a="1"/>
  <c r="Q38" i="2" s="1"/>
  <c r="P22" i="2"/>
  <c r="Q22" i="2" s="1" a="1"/>
  <c r="Q22" i="2" s="1"/>
  <c r="P6" i="2"/>
  <c r="Q6" i="2" s="1" a="1"/>
  <c r="Q6" i="2" s="1"/>
  <c r="P223" i="2"/>
  <c r="Q223" i="2" s="1" a="1"/>
  <c r="Q223" i="2" s="1"/>
  <c r="P175" i="2"/>
  <c r="Q175" i="2" s="1" a="1"/>
  <c r="Q175" i="2" s="1"/>
  <c r="P143" i="2"/>
  <c r="Q143" i="2" s="1" a="1"/>
  <c r="Q143" i="2" s="1"/>
  <c r="P111" i="2"/>
  <c r="Q111" i="2" s="1" a="1"/>
  <c r="Q111" i="2" s="1"/>
  <c r="P76" i="2"/>
  <c r="Q76" i="2" s="1" a="1"/>
  <c r="Q76" i="2" s="1"/>
  <c r="P245" i="2"/>
  <c r="Q245" i="2" s="1" a="1"/>
  <c r="Q245" i="2" s="1"/>
  <c r="P229" i="2"/>
  <c r="Q229" i="2" s="1" a="1"/>
  <c r="Q229" i="2" s="1"/>
  <c r="P213" i="2"/>
  <c r="Q213" i="2" s="1" a="1"/>
  <c r="Q213" i="2" s="1"/>
  <c r="P197" i="2"/>
  <c r="Q197" i="2" s="1" a="1"/>
  <c r="Q197" i="2" s="1"/>
  <c r="P181" i="2"/>
  <c r="Q181" i="2" s="1" a="1"/>
  <c r="Q181" i="2" s="1"/>
  <c r="P165" i="2"/>
  <c r="Q165" i="2" s="1" a="1"/>
  <c r="Q165" i="2" s="1"/>
  <c r="P149" i="2"/>
  <c r="Q149" i="2" s="1" a="1"/>
  <c r="Q149" i="2" s="1"/>
  <c r="P133" i="2"/>
  <c r="Q133" i="2" s="1" a="1"/>
  <c r="Q133" i="2" s="1"/>
  <c r="P117" i="2"/>
  <c r="Q117" i="2" s="1" a="1"/>
  <c r="Q117" i="2" s="1"/>
  <c r="P101" i="2"/>
  <c r="Q101" i="2" s="1" a="1"/>
  <c r="Q101" i="2" s="1"/>
  <c r="P85" i="2"/>
  <c r="Q85" i="2" s="1" a="1"/>
  <c r="Q85" i="2" s="1"/>
  <c r="P69" i="2"/>
  <c r="Q69" i="2" s="1" a="1"/>
  <c r="Q69" i="2" s="1"/>
  <c r="P53" i="2"/>
  <c r="Q53" i="2" s="1" a="1"/>
  <c r="Q53" i="2" s="1"/>
  <c r="P37" i="2"/>
  <c r="Q37" i="2" s="1" a="1"/>
  <c r="Q37" i="2" s="1"/>
  <c r="P127" i="2"/>
  <c r="Q127" i="2" s="1" a="1"/>
  <c r="Q127" i="2" s="1"/>
  <c r="P92" i="2"/>
  <c r="Q92" i="2" s="1" a="1"/>
  <c r="Q92" i="2" s="1"/>
  <c r="P244" i="2"/>
  <c r="Q244" i="2" s="1" a="1"/>
  <c r="Q244" i="2" s="1"/>
  <c r="P228" i="2"/>
  <c r="Q228" i="2" s="1" a="1"/>
  <c r="Q228" i="2" s="1"/>
  <c r="P212" i="2"/>
  <c r="Q212" i="2" s="1" a="1"/>
  <c r="Q212" i="2" s="1"/>
  <c r="P196" i="2"/>
  <c r="Q196" i="2" s="1" a="1"/>
  <c r="Q196" i="2" s="1"/>
  <c r="P180" i="2"/>
  <c r="Q180" i="2" s="1" a="1"/>
  <c r="Q180" i="2" s="1"/>
  <c r="P164" i="2"/>
  <c r="Q164" i="2" s="1" a="1"/>
  <c r="Q164" i="2" s="1"/>
  <c r="P148" i="2"/>
  <c r="Q148" i="2" s="1" a="1"/>
  <c r="Q148" i="2" s="1"/>
  <c r="P132" i="2"/>
  <c r="Q132" i="2" s="1" a="1"/>
  <c r="Q132" i="2" s="1"/>
  <c r="P116" i="2"/>
  <c r="Q116" i="2" s="1" a="1"/>
  <c r="Q116" i="2" s="1"/>
  <c r="P100" i="2"/>
  <c r="Q100" i="2" s="1" a="1"/>
  <c r="Q100" i="2" s="1"/>
  <c r="P84" i="2"/>
  <c r="Q84" i="2" s="1" a="1"/>
  <c r="Q84" i="2" s="1"/>
  <c r="P68" i="2"/>
  <c r="Q68" i="2" s="1" a="1"/>
  <c r="Q68" i="2" s="1"/>
  <c r="P52" i="2"/>
  <c r="Q52" i="2" s="1" a="1"/>
  <c r="Q52" i="2" s="1"/>
  <c r="P36" i="2"/>
  <c r="Q36" i="2" s="1" a="1"/>
  <c r="Q36" i="2" s="1"/>
  <c r="P20" i="2"/>
  <c r="Q20" i="2" s="1" a="1"/>
  <c r="Q20" i="2" s="1"/>
  <c r="P4" i="2"/>
  <c r="Q4" i="2" s="1" a="1"/>
  <c r="Q4" i="2" s="1"/>
  <c r="P95" i="2"/>
  <c r="Q95" i="2" s="1" a="1"/>
  <c r="Q95" i="2" s="1"/>
  <c r="P124" i="2"/>
  <c r="Q124" i="2" s="1" a="1"/>
  <c r="Q124" i="2" s="1"/>
  <c r="P243" i="2"/>
  <c r="Q243" i="2" s="1" a="1"/>
  <c r="Q243" i="2" s="1"/>
  <c r="P227" i="2"/>
  <c r="Q227" i="2" s="1" a="1"/>
  <c r="Q227" i="2" s="1"/>
  <c r="P211" i="2"/>
  <c r="Q211" i="2" s="1" a="1"/>
  <c r="Q211" i="2" s="1"/>
  <c r="P195" i="2"/>
  <c r="Q195" i="2" s="1" a="1"/>
  <c r="Q195" i="2" s="1"/>
  <c r="P179" i="2"/>
  <c r="Q179" i="2" s="1" a="1"/>
  <c r="Q179" i="2" s="1"/>
  <c r="P163" i="2"/>
  <c r="Q163" i="2" s="1" a="1"/>
  <c r="Q163" i="2" s="1"/>
  <c r="P147" i="2"/>
  <c r="Q147" i="2" s="1" a="1"/>
  <c r="Q147" i="2" s="1"/>
  <c r="P131" i="2"/>
  <c r="Q131" i="2" s="1" a="1"/>
  <c r="Q131" i="2" s="1"/>
  <c r="P115" i="2"/>
  <c r="Q115" i="2" s="1" a="1"/>
  <c r="Q115" i="2" s="1"/>
  <c r="P99" i="2"/>
  <c r="Q99" i="2" s="1" a="1"/>
  <c r="Q99" i="2" s="1"/>
  <c r="P83" i="2"/>
  <c r="Q83" i="2" s="1" a="1"/>
  <c r="Q83" i="2" s="1"/>
  <c r="P67" i="2"/>
  <c r="Q67" i="2" s="1" a="1"/>
  <c r="Q67" i="2" s="1"/>
  <c r="P51" i="2"/>
  <c r="Q51" i="2" s="1" a="1"/>
  <c r="Q51" i="2" s="1"/>
  <c r="P35" i="2"/>
  <c r="Q35" i="2" s="1" a="1"/>
  <c r="Q35" i="2" s="1"/>
  <c r="P19" i="2"/>
  <c r="Q19" i="2" s="1" a="1"/>
  <c r="Q19" i="2" s="1"/>
  <c r="P3" i="2"/>
  <c r="Q3" i="2" s="1" a="1"/>
  <c r="Q3" i="2" s="1"/>
  <c r="P2" i="2"/>
  <c r="Q2" i="2" s="1" a="1"/>
  <c r="Q2" i="2" s="1"/>
  <c r="H2" i="2"/>
  <c r="H3" i="2"/>
  <c r="H251" i="2"/>
  <c r="H208" i="2"/>
  <c r="H193" i="2"/>
  <c r="H162" i="2"/>
  <c r="H161" i="2"/>
  <c r="H155" i="2"/>
  <c r="H123" i="2"/>
  <c r="H80" i="2"/>
  <c r="H78" i="2"/>
  <c r="H65" i="2"/>
  <c r="H37" i="2"/>
  <c r="H34" i="2"/>
  <c r="H206" i="2"/>
  <c r="H242" i="2"/>
  <c r="H205" i="2"/>
  <c r="H160" i="2"/>
  <c r="H114" i="2"/>
  <c r="H77" i="2"/>
  <c r="H33" i="2"/>
  <c r="H241" i="2"/>
  <c r="H203" i="2"/>
  <c r="H158" i="2"/>
  <c r="H113" i="2"/>
  <c r="H75" i="2"/>
  <c r="H32" i="2"/>
  <c r="H125" i="2"/>
  <c r="H240" i="2"/>
  <c r="H194" i="2"/>
  <c r="H157" i="2"/>
  <c r="H112" i="2"/>
  <c r="H66" i="2"/>
  <c r="H30" i="2"/>
  <c r="H238" i="2"/>
  <c r="H110" i="2"/>
  <c r="H29" i="2"/>
  <c r="H237" i="2"/>
  <c r="H192" i="2"/>
  <c r="H146" i="2"/>
  <c r="H109" i="2"/>
  <c r="H64" i="2"/>
  <c r="H27" i="2"/>
  <c r="H235" i="2"/>
  <c r="H190" i="2"/>
  <c r="H145" i="2"/>
  <c r="H107" i="2"/>
  <c r="H62" i="2"/>
  <c r="H21" i="2"/>
  <c r="H226" i="2"/>
  <c r="H189" i="2"/>
  <c r="H144" i="2"/>
  <c r="H98" i="2"/>
  <c r="H61" i="2"/>
  <c r="H18" i="2"/>
  <c r="H225" i="2"/>
  <c r="H187" i="2"/>
  <c r="H142" i="2"/>
  <c r="H97" i="2"/>
  <c r="H59" i="2"/>
  <c r="H17" i="2"/>
  <c r="H224" i="2"/>
  <c r="H178" i="2"/>
  <c r="H141" i="2"/>
  <c r="H96" i="2"/>
  <c r="H50" i="2"/>
  <c r="H16" i="2"/>
  <c r="H222" i="2"/>
  <c r="H177" i="2"/>
  <c r="H139" i="2"/>
  <c r="H94" i="2"/>
  <c r="H49" i="2"/>
  <c r="H14" i="2"/>
  <c r="H221" i="2"/>
  <c r="H176" i="2"/>
  <c r="H130" i="2"/>
  <c r="H93" i="2"/>
  <c r="H48" i="2"/>
  <c r="H13" i="2"/>
  <c r="H219" i="2"/>
  <c r="H174" i="2"/>
  <c r="H129" i="2"/>
  <c r="H91" i="2"/>
  <c r="H46" i="2"/>
  <c r="H11" i="2"/>
  <c r="H210" i="2"/>
  <c r="H173" i="2"/>
  <c r="H128" i="2"/>
  <c r="H82" i="2"/>
  <c r="H45" i="2"/>
  <c r="H5" i="2"/>
  <c r="H209" i="2"/>
  <c r="H171" i="2"/>
  <c r="H126" i="2"/>
  <c r="H81" i="2"/>
  <c r="H43" i="2"/>
  <c r="H111" i="2"/>
  <c r="H220" i="2"/>
  <c r="H188" i="2"/>
  <c r="H140" i="2"/>
  <c r="H60" i="2"/>
  <c r="H250" i="2"/>
  <c r="H234" i="2"/>
  <c r="H218" i="2"/>
  <c r="H202" i="2"/>
  <c r="H186" i="2"/>
  <c r="H170" i="2"/>
  <c r="H154" i="2"/>
  <c r="H138" i="2"/>
  <c r="H122" i="2"/>
  <c r="H106" i="2"/>
  <c r="H90" i="2"/>
  <c r="H74" i="2"/>
  <c r="H58" i="2"/>
  <c r="H42" i="2"/>
  <c r="H26" i="2"/>
  <c r="H10" i="2"/>
  <c r="H63" i="2"/>
  <c r="H108" i="2"/>
  <c r="H249" i="2"/>
  <c r="H233" i="2"/>
  <c r="H217" i="2"/>
  <c r="H201" i="2"/>
  <c r="H185" i="2"/>
  <c r="H169" i="2"/>
  <c r="H153" i="2"/>
  <c r="H137" i="2"/>
  <c r="H121" i="2"/>
  <c r="H105" i="2"/>
  <c r="H89" i="2"/>
  <c r="H73" i="2"/>
  <c r="H57" i="2"/>
  <c r="H41" i="2"/>
  <c r="H25" i="2"/>
  <c r="H9" i="2"/>
  <c r="H239" i="2"/>
  <c r="H207" i="2"/>
  <c r="H191" i="2"/>
  <c r="H159" i="2"/>
  <c r="H143" i="2"/>
  <c r="H15" i="2"/>
  <c r="H236" i="2"/>
  <c r="H172" i="2"/>
  <c r="H12" i="2"/>
  <c r="H248" i="2"/>
  <c r="H232" i="2"/>
  <c r="H216" i="2"/>
  <c r="H200" i="2"/>
  <c r="H184" i="2"/>
  <c r="H168" i="2"/>
  <c r="H152" i="2"/>
  <c r="H136" i="2"/>
  <c r="H120" i="2"/>
  <c r="H104" i="2"/>
  <c r="H88" i="2"/>
  <c r="H72" i="2"/>
  <c r="H56" i="2"/>
  <c r="H40" i="2"/>
  <c r="H24" i="2"/>
  <c r="H8" i="2"/>
  <c r="H31" i="2"/>
  <c r="H124" i="2"/>
  <c r="H247" i="2"/>
  <c r="H231" i="2"/>
  <c r="H215" i="2"/>
  <c r="H199" i="2"/>
  <c r="H183" i="2"/>
  <c r="H167" i="2"/>
  <c r="H151" i="2"/>
  <c r="H135" i="2"/>
  <c r="H119" i="2"/>
  <c r="H103" i="2"/>
  <c r="H87" i="2"/>
  <c r="H71" i="2"/>
  <c r="H55" i="2"/>
  <c r="H39" i="2"/>
  <c r="H23" i="2"/>
  <c r="H7" i="2"/>
  <c r="H223" i="2"/>
  <c r="H175" i="2"/>
  <c r="H95" i="2"/>
  <c r="H92" i="2"/>
  <c r="H246" i="2"/>
  <c r="H230" i="2"/>
  <c r="H214" i="2"/>
  <c r="H198" i="2"/>
  <c r="H182" i="2"/>
  <c r="H166" i="2"/>
  <c r="H150" i="2"/>
  <c r="H134" i="2"/>
  <c r="H118" i="2"/>
  <c r="H102" i="2"/>
  <c r="H86" i="2"/>
  <c r="H70" i="2"/>
  <c r="H54" i="2"/>
  <c r="H38" i="2"/>
  <c r="H22" i="2"/>
  <c r="H6" i="2"/>
  <c r="H127" i="2"/>
  <c r="H204" i="2"/>
  <c r="H156" i="2"/>
  <c r="H28" i="2"/>
  <c r="H245" i="2"/>
  <c r="H229" i="2"/>
  <c r="H213" i="2"/>
  <c r="H197" i="2"/>
  <c r="H181" i="2"/>
  <c r="H165" i="2"/>
  <c r="H149" i="2"/>
  <c r="H133" i="2"/>
  <c r="H117" i="2"/>
  <c r="H101" i="2"/>
  <c r="H85" i="2"/>
  <c r="H69" i="2"/>
  <c r="H53" i="2"/>
  <c r="H47" i="2"/>
  <c r="H44" i="2"/>
  <c r="H244" i="2"/>
  <c r="H228" i="2"/>
  <c r="H212" i="2"/>
  <c r="H196" i="2"/>
  <c r="H180" i="2"/>
  <c r="H164" i="2"/>
  <c r="H148" i="2"/>
  <c r="H132" i="2"/>
  <c r="H116" i="2"/>
  <c r="H100" i="2"/>
  <c r="H84" i="2"/>
  <c r="H68" i="2"/>
  <c r="H52" i="2"/>
  <c r="H36" i="2"/>
  <c r="H20" i="2"/>
  <c r="H4" i="2"/>
  <c r="H79" i="2"/>
  <c r="H76" i="2"/>
  <c r="H243" i="2"/>
  <c r="H227" i="2"/>
  <c r="H211" i="2"/>
  <c r="H195" i="2"/>
  <c r="H179" i="2"/>
  <c r="H163" i="2"/>
  <c r="H147" i="2"/>
  <c r="H131" i="2"/>
  <c r="H115" i="2"/>
  <c r="H99" i="2"/>
  <c r="H83" i="2"/>
  <c r="H67" i="2"/>
  <c r="H51" i="2"/>
  <c r="H35" i="2"/>
  <c r="H19" i="2"/>
  <c r="R6" i="2" l="1"/>
  <c r="S6" i="2"/>
  <c r="T6" i="2"/>
  <c r="R205" i="2"/>
  <c r="S205" i="2"/>
  <c r="T205" i="2"/>
  <c r="R231" i="2"/>
  <c r="S231" i="2"/>
  <c r="T231" i="2"/>
  <c r="R66" i="2"/>
  <c r="T66" i="2"/>
  <c r="S66" i="2"/>
  <c r="R117" i="2"/>
  <c r="S117" i="2"/>
  <c r="T117" i="2"/>
  <c r="R172" i="2"/>
  <c r="S172" i="2"/>
  <c r="T172" i="2"/>
  <c r="R163" i="2"/>
  <c r="S163" i="2"/>
  <c r="T163" i="2"/>
  <c r="R184" i="2"/>
  <c r="T184" i="2"/>
  <c r="S184" i="2"/>
  <c r="R148" i="2"/>
  <c r="S148" i="2"/>
  <c r="T148" i="2"/>
  <c r="R47" i="2"/>
  <c r="S47" i="2"/>
  <c r="T47" i="2"/>
  <c r="R164" i="2"/>
  <c r="S164" i="2"/>
  <c r="T164" i="2"/>
  <c r="R45" i="2"/>
  <c r="S45" i="2"/>
  <c r="T45" i="2"/>
  <c r="R211" i="2"/>
  <c r="S211" i="2"/>
  <c r="T211" i="2"/>
  <c r="R180" i="2"/>
  <c r="S180" i="2"/>
  <c r="T180" i="2"/>
  <c r="R181" i="2"/>
  <c r="S181" i="2"/>
  <c r="T181" i="2"/>
  <c r="R102" i="2"/>
  <c r="S102" i="2"/>
  <c r="T102" i="2"/>
  <c r="R55" i="2"/>
  <c r="S55" i="2"/>
  <c r="T55" i="2"/>
  <c r="R31" i="2"/>
  <c r="S31" i="2"/>
  <c r="T31" i="2"/>
  <c r="R232" i="2"/>
  <c r="S232" i="2"/>
  <c r="T232" i="2"/>
  <c r="R137" i="2"/>
  <c r="S137" i="2"/>
  <c r="T137" i="2"/>
  <c r="R90" i="2"/>
  <c r="S90" i="2"/>
  <c r="T90" i="2"/>
  <c r="R82" i="2"/>
  <c r="S82" i="2"/>
  <c r="T82" i="2"/>
  <c r="R13" i="2"/>
  <c r="S13" i="2"/>
  <c r="T13" i="2"/>
  <c r="R187" i="2"/>
  <c r="S187" i="2"/>
  <c r="T187" i="2"/>
  <c r="R109" i="2"/>
  <c r="S109" i="2"/>
  <c r="T109" i="2"/>
  <c r="R30" i="2"/>
  <c r="S30" i="2"/>
  <c r="T30" i="2"/>
  <c r="R206" i="2"/>
  <c r="S206" i="2"/>
  <c r="T206" i="2"/>
  <c r="R136" i="2"/>
  <c r="T136" i="2"/>
  <c r="S136" i="2"/>
  <c r="R242" i="2"/>
  <c r="S242" i="2"/>
  <c r="T242" i="2"/>
  <c r="R190" i="2"/>
  <c r="S190" i="2"/>
  <c r="T190" i="2"/>
  <c r="R157" i="2"/>
  <c r="S157" i="2"/>
  <c r="T157" i="2"/>
  <c r="R200" i="2"/>
  <c r="T200" i="2"/>
  <c r="S200" i="2"/>
  <c r="R64" i="2"/>
  <c r="T64" i="2"/>
  <c r="S64" i="2"/>
  <c r="R191" i="2"/>
  <c r="S191" i="2"/>
  <c r="T191" i="2"/>
  <c r="R248" i="2"/>
  <c r="T248" i="2"/>
  <c r="S248" i="2"/>
  <c r="R153" i="2"/>
  <c r="S153" i="2"/>
  <c r="T153" i="2"/>
  <c r="R106" i="2"/>
  <c r="T106" i="2"/>
  <c r="S106" i="2"/>
  <c r="R128" i="2"/>
  <c r="T128" i="2"/>
  <c r="S128" i="2"/>
  <c r="R49" i="2"/>
  <c r="T49" i="2"/>
  <c r="S49" i="2"/>
  <c r="R225" i="2"/>
  <c r="T225" i="2"/>
  <c r="S225" i="2"/>
  <c r="R146" i="2"/>
  <c r="T146" i="2"/>
  <c r="S146" i="2"/>
  <c r="R75" i="2"/>
  <c r="S75" i="2"/>
  <c r="T75" i="2"/>
  <c r="R251" i="2"/>
  <c r="S251" i="2"/>
  <c r="T251" i="2"/>
  <c r="R63" i="2"/>
  <c r="S63" i="2"/>
  <c r="T63" i="2"/>
  <c r="R209" i="2"/>
  <c r="S209" i="2"/>
  <c r="T209" i="2"/>
  <c r="R112" i="2"/>
  <c r="T112" i="2"/>
  <c r="S112" i="2"/>
  <c r="R235" i="2"/>
  <c r="S235" i="2"/>
  <c r="T235" i="2"/>
  <c r="R58" i="2"/>
  <c r="S58" i="2"/>
  <c r="T58" i="2"/>
  <c r="R216" i="2"/>
  <c r="S216" i="2"/>
  <c r="T216" i="2"/>
  <c r="R213" i="2"/>
  <c r="S213" i="2"/>
  <c r="T213" i="2"/>
  <c r="R8" i="2"/>
  <c r="T8" i="2"/>
  <c r="S8" i="2"/>
  <c r="R169" i="2"/>
  <c r="S169" i="2"/>
  <c r="T169" i="2"/>
  <c r="R173" i="2"/>
  <c r="S173" i="2"/>
  <c r="T173" i="2"/>
  <c r="R94" i="2"/>
  <c r="S94" i="2"/>
  <c r="T94" i="2"/>
  <c r="R17" i="2"/>
  <c r="T17" i="2"/>
  <c r="S17" i="2"/>
  <c r="R192" i="2"/>
  <c r="T192" i="2"/>
  <c r="S192" i="2"/>
  <c r="R113" i="2"/>
  <c r="S113" i="2"/>
  <c r="T113" i="2"/>
  <c r="R80" i="2"/>
  <c r="S80" i="2"/>
  <c r="T80" i="2"/>
  <c r="R84" i="2"/>
  <c r="S84" i="2"/>
  <c r="T84" i="2"/>
  <c r="R250" i="2"/>
  <c r="T250" i="2"/>
  <c r="S250" i="2"/>
  <c r="R131" i="2"/>
  <c r="S131" i="2"/>
  <c r="T131" i="2"/>
  <c r="R57" i="2"/>
  <c r="T57" i="2"/>
  <c r="S57" i="2"/>
  <c r="R147" i="2"/>
  <c r="S147" i="2"/>
  <c r="T147" i="2"/>
  <c r="R93" i="2"/>
  <c r="S93" i="2"/>
  <c r="T93" i="2"/>
  <c r="R60" i="2"/>
  <c r="S60" i="2"/>
  <c r="T60" i="2"/>
  <c r="R78" i="2"/>
  <c r="S78" i="2"/>
  <c r="T78" i="2"/>
  <c r="R149" i="2"/>
  <c r="S149" i="2"/>
  <c r="T149" i="2"/>
  <c r="R21" i="2"/>
  <c r="S21" i="2"/>
  <c r="T21" i="2"/>
  <c r="R86" i="2"/>
  <c r="S86" i="2"/>
  <c r="T86" i="2"/>
  <c r="R161" i="2"/>
  <c r="T161" i="2"/>
  <c r="S161" i="2"/>
  <c r="R196" i="2"/>
  <c r="S196" i="2"/>
  <c r="T196" i="2"/>
  <c r="R212" i="2"/>
  <c r="S212" i="2"/>
  <c r="T212" i="2"/>
  <c r="R134" i="2"/>
  <c r="S134" i="2"/>
  <c r="T134" i="2"/>
  <c r="R87" i="2"/>
  <c r="S87" i="2"/>
  <c r="T87" i="2"/>
  <c r="R12" i="2"/>
  <c r="S12" i="2"/>
  <c r="T12" i="2"/>
  <c r="R122" i="2"/>
  <c r="S122" i="2"/>
  <c r="T122" i="2"/>
  <c r="R3" i="2"/>
  <c r="S3" i="2"/>
  <c r="T3" i="2"/>
  <c r="R124" i="2"/>
  <c r="S124" i="2"/>
  <c r="T124" i="2"/>
  <c r="R228" i="2"/>
  <c r="S228" i="2"/>
  <c r="T228" i="2"/>
  <c r="R229" i="2"/>
  <c r="S229" i="2"/>
  <c r="T229" i="2"/>
  <c r="R150" i="2"/>
  <c r="S150" i="2"/>
  <c r="T150" i="2"/>
  <c r="R103" i="2"/>
  <c r="S103" i="2"/>
  <c r="T103" i="2"/>
  <c r="R24" i="2"/>
  <c r="T24" i="2"/>
  <c r="S24" i="2"/>
  <c r="R156" i="2"/>
  <c r="S156" i="2"/>
  <c r="T156" i="2"/>
  <c r="R185" i="2"/>
  <c r="T185" i="2"/>
  <c r="S185" i="2"/>
  <c r="R138" i="2"/>
  <c r="S138" i="2"/>
  <c r="T138" i="2"/>
  <c r="R210" i="2"/>
  <c r="T210" i="2"/>
  <c r="S210" i="2"/>
  <c r="R139" i="2"/>
  <c r="S139" i="2"/>
  <c r="T139" i="2"/>
  <c r="R61" i="2"/>
  <c r="S61" i="2"/>
  <c r="T61" i="2"/>
  <c r="R237" i="2"/>
  <c r="S237" i="2"/>
  <c r="T237" i="2"/>
  <c r="R158" i="2"/>
  <c r="S158" i="2"/>
  <c r="T158" i="2"/>
  <c r="R125" i="2"/>
  <c r="S125" i="2"/>
  <c r="T125" i="2"/>
  <c r="R107" i="2"/>
  <c r="S107" i="2"/>
  <c r="T107" i="2"/>
  <c r="R10" i="2"/>
  <c r="S10" i="2"/>
  <c r="T10" i="2"/>
  <c r="R247" i="2"/>
  <c r="S247" i="2"/>
  <c r="T247" i="2"/>
  <c r="R130" i="2"/>
  <c r="T130" i="2"/>
  <c r="S130" i="2"/>
  <c r="R123" i="2"/>
  <c r="S123" i="2"/>
  <c r="T123" i="2"/>
  <c r="R74" i="2"/>
  <c r="T74" i="2"/>
  <c r="S74" i="2"/>
  <c r="R197" i="2"/>
  <c r="S197" i="2"/>
  <c r="T197" i="2"/>
  <c r="R19" i="2"/>
  <c r="S19" i="2"/>
  <c r="T19" i="2"/>
  <c r="R40" i="2"/>
  <c r="T40" i="2"/>
  <c r="S40" i="2"/>
  <c r="R236" i="2"/>
  <c r="S236" i="2"/>
  <c r="T236" i="2"/>
  <c r="R201" i="2"/>
  <c r="S201" i="2"/>
  <c r="T201" i="2"/>
  <c r="R154" i="2"/>
  <c r="S154" i="2"/>
  <c r="T154" i="2"/>
  <c r="R5" i="2"/>
  <c r="S5" i="2"/>
  <c r="T5" i="2"/>
  <c r="R177" i="2"/>
  <c r="S177" i="2"/>
  <c r="T177" i="2"/>
  <c r="R98" i="2"/>
  <c r="S98" i="2"/>
  <c r="T98" i="2"/>
  <c r="R27" i="2"/>
  <c r="S27" i="2"/>
  <c r="T27" i="2"/>
  <c r="R203" i="2"/>
  <c r="S203" i="2"/>
  <c r="T203" i="2"/>
  <c r="R162" i="2"/>
  <c r="T162" i="2"/>
  <c r="S162" i="2"/>
  <c r="R178" i="2"/>
  <c r="T178" i="2"/>
  <c r="S178" i="2"/>
  <c r="R152" i="2"/>
  <c r="T152" i="2"/>
  <c r="S152" i="2"/>
  <c r="R168" i="2"/>
  <c r="S168" i="2"/>
  <c r="T168" i="2"/>
  <c r="R89" i="2"/>
  <c r="S89" i="2"/>
  <c r="T89" i="2"/>
  <c r="R194" i="2"/>
  <c r="T194" i="2"/>
  <c r="S194" i="2"/>
  <c r="R121" i="2"/>
  <c r="S121" i="2"/>
  <c r="T121" i="2"/>
  <c r="R227" i="2"/>
  <c r="S227" i="2"/>
  <c r="T227" i="2"/>
  <c r="R95" i="2"/>
  <c r="S95" i="2"/>
  <c r="T95" i="2"/>
  <c r="R182" i="2"/>
  <c r="S182" i="2"/>
  <c r="T182" i="2"/>
  <c r="R170" i="2"/>
  <c r="S170" i="2"/>
  <c r="T170" i="2"/>
  <c r="R46" i="2"/>
  <c r="S46" i="2"/>
  <c r="T46" i="2"/>
  <c r="R222" i="2"/>
  <c r="S222" i="2"/>
  <c r="T222" i="2"/>
  <c r="R144" i="2"/>
  <c r="S144" i="2"/>
  <c r="T144" i="2"/>
  <c r="R65" i="2"/>
  <c r="S65" i="2"/>
  <c r="T65" i="2"/>
  <c r="R241" i="2"/>
  <c r="T241" i="2"/>
  <c r="S241" i="2"/>
  <c r="R208" i="2"/>
  <c r="T208" i="2"/>
  <c r="S208" i="2"/>
  <c r="R108" i="2"/>
  <c r="S108" i="2"/>
  <c r="T108" i="2"/>
  <c r="R29" i="2"/>
  <c r="S29" i="2"/>
  <c r="T29" i="2"/>
  <c r="R22" i="2"/>
  <c r="S22" i="2"/>
  <c r="T22" i="2"/>
  <c r="R224" i="2"/>
  <c r="T224" i="2"/>
  <c r="S224" i="2"/>
  <c r="R239" i="2"/>
  <c r="S239" i="2"/>
  <c r="T239" i="2"/>
  <c r="R33" i="2"/>
  <c r="T33" i="2"/>
  <c r="S33" i="2"/>
  <c r="R54" i="2"/>
  <c r="S54" i="2"/>
  <c r="T54" i="2"/>
  <c r="R59" i="2"/>
  <c r="S59" i="2"/>
  <c r="T59" i="2"/>
  <c r="R179" i="2"/>
  <c r="S179" i="2"/>
  <c r="T179" i="2"/>
  <c r="R105" i="2"/>
  <c r="S105" i="2"/>
  <c r="T105" i="2"/>
  <c r="R39" i="2"/>
  <c r="S39" i="2"/>
  <c r="T39" i="2"/>
  <c r="R142" i="2"/>
  <c r="S142" i="2"/>
  <c r="T142" i="2"/>
  <c r="R71" i="2"/>
  <c r="S71" i="2"/>
  <c r="T71" i="2"/>
  <c r="R119" i="2"/>
  <c r="S119" i="2"/>
  <c r="T119" i="2"/>
  <c r="R92" i="2"/>
  <c r="S92" i="2"/>
  <c r="T92" i="2"/>
  <c r="R135" i="2"/>
  <c r="S135" i="2"/>
  <c r="T135" i="2"/>
  <c r="R51" i="2"/>
  <c r="S51" i="2"/>
  <c r="T51" i="2"/>
  <c r="R20" i="2"/>
  <c r="S20" i="2"/>
  <c r="T20" i="2"/>
  <c r="R127" i="2"/>
  <c r="S127" i="2"/>
  <c r="T127" i="2"/>
  <c r="R111" i="2"/>
  <c r="S111" i="2"/>
  <c r="T111" i="2"/>
  <c r="R198" i="2"/>
  <c r="S198" i="2"/>
  <c r="T198" i="2"/>
  <c r="R151" i="2"/>
  <c r="S151" i="2"/>
  <c r="T151" i="2"/>
  <c r="R72" i="2"/>
  <c r="T72" i="2"/>
  <c r="S72" i="2"/>
  <c r="R159" i="2"/>
  <c r="S159" i="2"/>
  <c r="T159" i="2"/>
  <c r="R233" i="2"/>
  <c r="S233" i="2"/>
  <c r="T233" i="2"/>
  <c r="R186" i="2"/>
  <c r="S186" i="2"/>
  <c r="T186" i="2"/>
  <c r="R91" i="2"/>
  <c r="S91" i="2"/>
  <c r="T91" i="2"/>
  <c r="R14" i="2"/>
  <c r="S14" i="2"/>
  <c r="T14" i="2"/>
  <c r="R189" i="2"/>
  <c r="S189" i="2"/>
  <c r="T189" i="2"/>
  <c r="R110" i="2"/>
  <c r="S110" i="2"/>
  <c r="T110" i="2"/>
  <c r="R32" i="2"/>
  <c r="T32" i="2"/>
  <c r="S32" i="2"/>
  <c r="R34" i="2"/>
  <c r="S34" i="2"/>
  <c r="T34" i="2"/>
  <c r="R215" i="2"/>
  <c r="S215" i="2"/>
  <c r="T215" i="2"/>
  <c r="R171" i="2"/>
  <c r="S171" i="2"/>
  <c r="T171" i="2"/>
  <c r="R15" i="2"/>
  <c r="S15" i="2"/>
  <c r="T15" i="2"/>
  <c r="R145" i="2"/>
  <c r="S145" i="2"/>
  <c r="T145" i="2"/>
  <c r="R38" i="2"/>
  <c r="S38" i="2"/>
  <c r="T38" i="2"/>
  <c r="R16" i="2"/>
  <c r="S16" i="2"/>
  <c r="T16" i="2"/>
  <c r="R133" i="2"/>
  <c r="S133" i="2"/>
  <c r="T133" i="2"/>
  <c r="R220" i="2"/>
  <c r="S220" i="2"/>
  <c r="T220" i="2"/>
  <c r="R70" i="2"/>
  <c r="S70" i="2"/>
  <c r="T70" i="2"/>
  <c r="R97" i="2"/>
  <c r="T97" i="2"/>
  <c r="S97" i="2"/>
  <c r="R165" i="2"/>
  <c r="S165" i="2"/>
  <c r="T165" i="2"/>
  <c r="R240" i="2"/>
  <c r="T240" i="2"/>
  <c r="S240" i="2"/>
  <c r="R166" i="2"/>
  <c r="S166" i="2"/>
  <c r="T166" i="2"/>
  <c r="R4" i="2"/>
  <c r="S4" i="2"/>
  <c r="T4" i="2"/>
  <c r="R56" i="2"/>
  <c r="T56" i="2"/>
  <c r="S56" i="2"/>
  <c r="R67" i="2"/>
  <c r="S67" i="2"/>
  <c r="T67" i="2"/>
  <c r="R36" i="2"/>
  <c r="S36" i="2"/>
  <c r="T36" i="2"/>
  <c r="R37" i="2"/>
  <c r="S37" i="2"/>
  <c r="T37" i="2"/>
  <c r="R143" i="2"/>
  <c r="S143" i="2"/>
  <c r="T143" i="2"/>
  <c r="R214" i="2"/>
  <c r="S214" i="2"/>
  <c r="T214" i="2"/>
  <c r="R167" i="2"/>
  <c r="S167" i="2"/>
  <c r="T167" i="2"/>
  <c r="R88" i="2"/>
  <c r="T88" i="2"/>
  <c r="S88" i="2"/>
  <c r="R207" i="2"/>
  <c r="S207" i="2"/>
  <c r="T207" i="2"/>
  <c r="R249" i="2"/>
  <c r="S249" i="2"/>
  <c r="T249" i="2"/>
  <c r="R202" i="2"/>
  <c r="T202" i="2"/>
  <c r="S202" i="2"/>
  <c r="R129" i="2"/>
  <c r="S129" i="2"/>
  <c r="T129" i="2"/>
  <c r="R50" i="2"/>
  <c r="T50" i="2"/>
  <c r="S50" i="2"/>
  <c r="R226" i="2"/>
  <c r="S226" i="2"/>
  <c r="T226" i="2"/>
  <c r="R155" i="2"/>
  <c r="S155" i="2"/>
  <c r="T155" i="2"/>
  <c r="R77" i="2"/>
  <c r="S77" i="2"/>
  <c r="T77" i="2"/>
  <c r="R43" i="2"/>
  <c r="S43" i="2"/>
  <c r="T43" i="2"/>
  <c r="R115" i="2"/>
  <c r="S115" i="2"/>
  <c r="T115" i="2"/>
  <c r="R41" i="2"/>
  <c r="S41" i="2"/>
  <c r="T41" i="2"/>
  <c r="R100" i="2"/>
  <c r="S100" i="2"/>
  <c r="T100" i="2"/>
  <c r="R48" i="2"/>
  <c r="T48" i="2"/>
  <c r="S48" i="2"/>
  <c r="R73" i="2"/>
  <c r="S73" i="2"/>
  <c r="T73" i="2"/>
  <c r="R132" i="2"/>
  <c r="S132" i="2"/>
  <c r="T132" i="2"/>
  <c r="R42" i="2"/>
  <c r="S42" i="2"/>
  <c r="T42" i="2"/>
  <c r="R23" i="2"/>
  <c r="S23" i="2"/>
  <c r="T23" i="2"/>
  <c r="R176" i="2"/>
  <c r="T176" i="2"/>
  <c r="S176" i="2"/>
  <c r="R188" i="2"/>
  <c r="S188" i="2"/>
  <c r="T188" i="2"/>
  <c r="R243" i="2"/>
  <c r="S243" i="2"/>
  <c r="T243" i="2"/>
  <c r="R244" i="2"/>
  <c r="S244" i="2"/>
  <c r="T244" i="2"/>
  <c r="R76" i="2"/>
  <c r="S76" i="2"/>
  <c r="T76" i="2"/>
  <c r="R217" i="2"/>
  <c r="T217" i="2"/>
  <c r="S217" i="2"/>
  <c r="R83" i="2"/>
  <c r="S83" i="2"/>
  <c r="T83" i="2"/>
  <c r="R52" i="2"/>
  <c r="S52" i="2"/>
  <c r="T52" i="2"/>
  <c r="R53" i="2"/>
  <c r="S53" i="2"/>
  <c r="T53" i="2"/>
  <c r="R175" i="2"/>
  <c r="S175" i="2"/>
  <c r="T175" i="2"/>
  <c r="R230" i="2"/>
  <c r="S230" i="2"/>
  <c r="T230" i="2"/>
  <c r="R183" i="2"/>
  <c r="S183" i="2"/>
  <c r="T183" i="2"/>
  <c r="R104" i="2"/>
  <c r="T104" i="2"/>
  <c r="S104" i="2"/>
  <c r="R9" i="2"/>
  <c r="S9" i="2"/>
  <c r="T9" i="2"/>
  <c r="R44" i="2"/>
  <c r="S44" i="2"/>
  <c r="T44" i="2"/>
  <c r="R218" i="2"/>
  <c r="T218" i="2"/>
  <c r="S218" i="2"/>
  <c r="R174" i="2"/>
  <c r="S174" i="2"/>
  <c r="T174" i="2"/>
  <c r="R96" i="2"/>
  <c r="S96" i="2"/>
  <c r="T96" i="2"/>
  <c r="R18" i="2"/>
  <c r="S18" i="2"/>
  <c r="T18" i="2"/>
  <c r="R193" i="2"/>
  <c r="T193" i="2"/>
  <c r="S193" i="2"/>
  <c r="R114" i="2"/>
  <c r="S114" i="2"/>
  <c r="T114" i="2"/>
  <c r="R81" i="2"/>
  <c r="S81" i="2"/>
  <c r="T81" i="2"/>
  <c r="R85" i="2"/>
  <c r="S85" i="2"/>
  <c r="T85" i="2"/>
  <c r="R11" i="2"/>
  <c r="S11" i="2"/>
  <c r="T11" i="2"/>
  <c r="R101" i="2"/>
  <c r="S101" i="2"/>
  <c r="T101" i="2"/>
  <c r="R28" i="2"/>
  <c r="S28" i="2"/>
  <c r="T28" i="2"/>
  <c r="R116" i="2"/>
  <c r="S116" i="2"/>
  <c r="T116" i="2"/>
  <c r="R26" i="2"/>
  <c r="T26" i="2"/>
  <c r="S26" i="2"/>
  <c r="R7" i="2"/>
  <c r="S7" i="2"/>
  <c r="T7" i="2"/>
  <c r="R140" i="2"/>
  <c r="S140" i="2"/>
  <c r="T140" i="2"/>
  <c r="R195" i="2"/>
  <c r="S195" i="2"/>
  <c r="T195" i="2"/>
  <c r="R221" i="2"/>
  <c r="S221" i="2"/>
  <c r="T221" i="2"/>
  <c r="R118" i="2"/>
  <c r="S118" i="2"/>
  <c r="T118" i="2"/>
  <c r="R245" i="2"/>
  <c r="S245" i="2"/>
  <c r="T245" i="2"/>
  <c r="R35" i="2"/>
  <c r="S35" i="2"/>
  <c r="T35" i="2"/>
  <c r="R79" i="2"/>
  <c r="S79" i="2"/>
  <c r="T79" i="2"/>
  <c r="R99" i="2"/>
  <c r="S99" i="2"/>
  <c r="T99" i="2"/>
  <c r="R68" i="2"/>
  <c r="S68" i="2"/>
  <c r="T68" i="2"/>
  <c r="R69" i="2"/>
  <c r="S69" i="2"/>
  <c r="T69" i="2"/>
  <c r="R223" i="2"/>
  <c r="S223" i="2"/>
  <c r="T223" i="2"/>
  <c r="R246" i="2"/>
  <c r="S246" i="2"/>
  <c r="T246" i="2"/>
  <c r="R199" i="2"/>
  <c r="S199" i="2"/>
  <c r="T199" i="2"/>
  <c r="R120" i="2"/>
  <c r="T120" i="2"/>
  <c r="S120" i="2"/>
  <c r="R25" i="2"/>
  <c r="S25" i="2"/>
  <c r="T25" i="2"/>
  <c r="R204" i="2"/>
  <c r="S204" i="2"/>
  <c r="T204" i="2"/>
  <c r="R234" i="2"/>
  <c r="S234" i="2"/>
  <c r="T234" i="2"/>
  <c r="R219" i="2"/>
  <c r="S219" i="2"/>
  <c r="T219" i="2"/>
  <c r="R141" i="2"/>
  <c r="S141" i="2"/>
  <c r="T141" i="2"/>
  <c r="R62" i="2"/>
  <c r="S62" i="2"/>
  <c r="T62" i="2"/>
  <c r="R238" i="2"/>
  <c r="S238" i="2"/>
  <c r="T238" i="2"/>
  <c r="R160" i="2"/>
  <c r="T160" i="2"/>
  <c r="S160" i="2"/>
  <c r="R126" i="2"/>
  <c r="S126" i="2"/>
  <c r="T126" i="2"/>
  <c r="S2" i="2"/>
  <c r="T2" i="2"/>
  <c r="R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<sst xmlns="http://schemas.openxmlformats.org/spreadsheetml/2006/main" count="3025" uniqueCount="93">
  <si>
    <t>Material_Type</t>
  </si>
  <si>
    <t>Retro_Proactive</t>
  </si>
  <si>
    <t>Rev_1</t>
  </si>
  <si>
    <t>Rev_2</t>
  </si>
  <si>
    <t>Spatial_Scale</t>
  </si>
  <si>
    <t>Composite</t>
  </si>
  <si>
    <t>Concrete</t>
  </si>
  <si>
    <t>Metal</t>
  </si>
  <si>
    <t>Other</t>
  </si>
  <si>
    <t>Rock</t>
  </si>
  <si>
    <t>Tires/Rubber</t>
  </si>
  <si>
    <t>Retro</t>
  </si>
  <si>
    <t>Pro</t>
  </si>
  <si>
    <t>Unsure</t>
  </si>
  <si>
    <t>Will</t>
  </si>
  <si>
    <t>Cyndi</t>
  </si>
  <si>
    <t>Jon</t>
  </si>
  <si>
    <t>LM</t>
  </si>
  <si>
    <t>Nick</t>
  </si>
  <si>
    <t>County/Local</t>
  </si>
  <si>
    <t>State</t>
  </si>
  <si>
    <t>Regional</t>
  </si>
  <si>
    <t>National</t>
  </si>
  <si>
    <t>Bio_Obj</t>
  </si>
  <si>
    <t>Habitat</t>
  </si>
  <si>
    <t>Production</t>
  </si>
  <si>
    <t>Aggregation</t>
  </si>
  <si>
    <t>Biodiversity</t>
  </si>
  <si>
    <t>Concepts_Mentioned</t>
  </si>
  <si>
    <t>Fish.Enhancement</t>
  </si>
  <si>
    <t>Comm.Fish.Mngmt</t>
  </si>
  <si>
    <t>Rec.Fish.Mngmt</t>
  </si>
  <si>
    <t>Creation of AR Mat</t>
  </si>
  <si>
    <t>Siting and Deployment Regs</t>
  </si>
  <si>
    <t>Doc_Type</t>
  </si>
  <si>
    <t>State_Code</t>
  </si>
  <si>
    <t>Fed_Code</t>
  </si>
  <si>
    <t>State_Plan</t>
  </si>
  <si>
    <t>Summ_Article</t>
  </si>
  <si>
    <t>Guide</t>
  </si>
  <si>
    <t>Physical_Obj</t>
  </si>
  <si>
    <t>Hab_enhancement</t>
  </si>
  <si>
    <t>Disposal</t>
  </si>
  <si>
    <t>Mitig.</t>
  </si>
  <si>
    <t>Hab_restoration</t>
  </si>
  <si>
    <t>Wave_attenuation</t>
  </si>
  <si>
    <t>Social_Econ_Obj</t>
  </si>
  <si>
    <t>Rec_Fish</t>
  </si>
  <si>
    <t>Comm_Fish</t>
  </si>
  <si>
    <t>Chart_Fish</t>
  </si>
  <si>
    <t>Non-Fish_rec</t>
  </si>
  <si>
    <t>Scuba</t>
  </si>
  <si>
    <t>Target_SH</t>
  </si>
  <si>
    <t>Permit_reg_agencies</t>
  </si>
  <si>
    <t>AS_constructors</t>
  </si>
  <si>
    <t>AR_proj_plan_mngrs</t>
  </si>
  <si>
    <t>people_interested</t>
  </si>
  <si>
    <t>anglers</t>
  </si>
  <si>
    <t>AR_Def</t>
  </si>
  <si>
    <t>LT_End</t>
  </si>
  <si>
    <t>Notes</t>
  </si>
  <si>
    <t>Spec_Obj</t>
  </si>
  <si>
    <t>Spec_Spatial_scale</t>
  </si>
  <si>
    <t>Whats_monitored</t>
  </si>
  <si>
    <t>RN</t>
  </si>
  <si>
    <t>State_ifapp</t>
  </si>
  <si>
    <t>State_Num</t>
  </si>
  <si>
    <t>Maine</t>
  </si>
  <si>
    <t>New Hampshire</t>
  </si>
  <si>
    <t>Massachussetts</t>
  </si>
  <si>
    <t>Rhode Island</t>
  </si>
  <si>
    <t>Connecticut</t>
  </si>
  <si>
    <t>New York</t>
  </si>
  <si>
    <t>New Jersey</t>
  </si>
  <si>
    <t>Delaware</t>
  </si>
  <si>
    <t>Maryland</t>
  </si>
  <si>
    <t>Virginia</t>
  </si>
  <si>
    <t>North Carolina</t>
  </si>
  <si>
    <t>South Carolina</t>
  </si>
  <si>
    <t>Georgia</t>
  </si>
  <si>
    <t>Florida</t>
  </si>
  <si>
    <t>Texas</t>
  </si>
  <si>
    <t>Louisiana</t>
  </si>
  <si>
    <t>Mississippi</t>
  </si>
  <si>
    <t>Alabama</t>
  </si>
  <si>
    <t>California</t>
  </si>
  <si>
    <t>Oregon</t>
  </si>
  <si>
    <t>Washington</t>
  </si>
  <si>
    <t>Alaska</t>
  </si>
  <si>
    <t>Hawaii</t>
  </si>
  <si>
    <t>UNK</t>
  </si>
  <si>
    <t>Lon</t>
  </si>
  <si>
    <t>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</si>
</sst>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08B5D-0167-3446-A202-73908DABEA63}">
  <dimension ref="A1:R7"/>
  <sheetViews>
    <sheetView zoomScale="97" zoomScaleNormal="97" workbookViewId="0">
      <selection activeCell="A8" sqref="A8"/>
    </sheetView>
  </sheetViews>
  <sheetFormatPr baseColWidth="10" defaultRowHeight="16" x14ac:dyDescent="0.2"/>
  <sheetData>
    <row r="1" spans="1:18" x14ac:dyDescent="0.2">
      <c r="A1" t="s">
        <v>64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23</v>
      </c>
      <c r="H1" s="1" t="s">
        <v>28</v>
      </c>
      <c r="I1" s="1" t="s">
        <v>34</v>
      </c>
      <c r="J1" s="1" t="s">
        <v>40</v>
      </c>
      <c r="K1" s="1" t="s">
        <v>46</v>
      </c>
      <c r="L1" s="1" t="s">
        <v>52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</row>
    <row r="2" spans="1:18" x14ac:dyDescent="0.2">
      <c r="A2">
        <v>1</v>
      </c>
      <c r="B2" t="s">
        <v>5</v>
      </c>
      <c r="C2" t="s">
        <v>11</v>
      </c>
      <c r="D2" t="s">
        <v>14</v>
      </c>
      <c r="E2" t="s">
        <v>14</v>
      </c>
      <c r="F2" t="s">
        <v>19</v>
      </c>
      <c r="G2" t="s">
        <v>24</v>
      </c>
      <c r="H2" t="s">
        <v>29</v>
      </c>
      <c r="I2" t="s">
        <v>35</v>
      </c>
      <c r="J2" t="s">
        <v>41</v>
      </c>
      <c r="K2" t="s">
        <v>47</v>
      </c>
      <c r="L2" t="s">
        <v>55</v>
      </c>
    </row>
    <row r="3" spans="1:18" x14ac:dyDescent="0.2">
      <c r="A3">
        <v>2</v>
      </c>
      <c r="B3" t="s">
        <v>6</v>
      </c>
      <c r="C3" t="s">
        <v>12</v>
      </c>
      <c r="D3" t="s">
        <v>15</v>
      </c>
      <c r="E3" t="s">
        <v>15</v>
      </c>
      <c r="F3" t="s">
        <v>20</v>
      </c>
      <c r="G3" t="s">
        <v>25</v>
      </c>
      <c r="H3" t="s">
        <v>30</v>
      </c>
      <c r="I3" t="s">
        <v>36</v>
      </c>
      <c r="J3" t="s">
        <v>42</v>
      </c>
      <c r="K3" t="s">
        <v>48</v>
      </c>
      <c r="L3" t="s">
        <v>54</v>
      </c>
    </row>
    <row r="4" spans="1:18" x14ac:dyDescent="0.2">
      <c r="A4">
        <v>3</v>
      </c>
      <c r="B4" t="s">
        <v>7</v>
      </c>
      <c r="C4" t="s">
        <v>13</v>
      </c>
      <c r="D4" t="s">
        <v>16</v>
      </c>
      <c r="E4" t="s">
        <v>18</v>
      </c>
      <c r="F4" t="s">
        <v>21</v>
      </c>
      <c r="G4" t="s">
        <v>26</v>
      </c>
      <c r="H4" t="s">
        <v>31</v>
      </c>
      <c r="I4" t="s">
        <v>37</v>
      </c>
      <c r="J4" t="s">
        <v>43</v>
      </c>
      <c r="K4" t="s">
        <v>49</v>
      </c>
      <c r="L4" t="s">
        <v>53</v>
      </c>
    </row>
    <row r="5" spans="1:18" x14ac:dyDescent="0.2">
      <c r="A5">
        <v>4</v>
      </c>
      <c r="B5" t="s">
        <v>8</v>
      </c>
      <c r="D5" t="s">
        <v>17</v>
      </c>
      <c r="F5" t="s">
        <v>22</v>
      </c>
      <c r="G5" t="s">
        <v>27</v>
      </c>
      <c r="H5" t="s">
        <v>32</v>
      </c>
      <c r="I5" t="s">
        <v>38</v>
      </c>
      <c r="J5" t="s">
        <v>44</v>
      </c>
      <c r="K5" t="s">
        <v>50</v>
      </c>
      <c r="L5" t="s">
        <v>56</v>
      </c>
    </row>
    <row r="6" spans="1:18" x14ac:dyDescent="0.2">
      <c r="A6">
        <v>5</v>
      </c>
      <c r="B6" t="s">
        <v>9</v>
      </c>
      <c r="D6" t="s">
        <v>18</v>
      </c>
      <c r="H6" t="s">
        <v>33</v>
      </c>
      <c r="I6" t="s">
        <v>39</v>
      </c>
      <c r="J6" t="s">
        <v>45</v>
      </c>
      <c r="K6" t="s">
        <v>51</v>
      </c>
      <c r="L6" t="s">
        <v>57</v>
      </c>
    </row>
    <row r="7" spans="1:18" x14ac:dyDescent="0.2">
      <c r="A7">
        <v>6</v>
      </c>
      <c r="B7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E85FC-5A74-5F4E-8759-3BAB7C51EF2D}">
  <dimension ref="A1:D26"/>
  <sheetViews>
    <sheetView workbookViewId="0">
      <selection activeCell="E41" sqref="E41"/>
    </sheetView>
  </sheetViews>
  <sheetFormatPr baseColWidth="10" defaultRowHeight="16" x14ac:dyDescent="0.2"/>
  <sheetData>
    <row r="1" spans="1:4" x14ac:dyDescent="0.2">
      <c r="A1" t="s">
        <v>66</v>
      </c>
      <c r="B1" t="s">
        <v>20</v>
      </c>
      <c r="C1" t="s">
        <v>92</v>
      </c>
      <c r="D1" t="s">
        <v>91</v>
      </c>
    </row>
    <row r="2" spans="1:4" x14ac:dyDescent="0.2">
      <c r="A2">
        <v>1</v>
      </c>
      <c r="B2" t="s">
        <v>67</v>
      </c>
      <c r="C2">
        <v>45.366700000000002</v>
      </c>
      <c r="D2">
        <v>-69.2333</v>
      </c>
    </row>
    <row r="3" spans="1:4" x14ac:dyDescent="0.2">
      <c r="A3">
        <v>2</v>
      </c>
      <c r="B3" t="s">
        <v>68</v>
      </c>
      <c r="C3">
        <v>43.683300000000003</v>
      </c>
      <c r="D3">
        <v>-71.583299999999994</v>
      </c>
    </row>
    <row r="4" spans="1:4" x14ac:dyDescent="0.2">
      <c r="A4">
        <v>3</v>
      </c>
      <c r="B4" t="s">
        <v>69</v>
      </c>
      <c r="C4">
        <v>42.4</v>
      </c>
      <c r="D4">
        <v>-71.383300000000006</v>
      </c>
    </row>
    <row r="5" spans="1:4" x14ac:dyDescent="0.2">
      <c r="A5">
        <v>4</v>
      </c>
      <c r="B5" t="s">
        <v>70</v>
      </c>
      <c r="C5">
        <v>41.666699999999999</v>
      </c>
      <c r="D5">
        <v>-71.5</v>
      </c>
    </row>
    <row r="6" spans="1:4" x14ac:dyDescent="0.2">
      <c r="A6">
        <v>5</v>
      </c>
      <c r="B6" t="s">
        <v>71</v>
      </c>
      <c r="C6">
        <v>41.6</v>
      </c>
      <c r="D6">
        <v>-72.7</v>
      </c>
    </row>
    <row r="7" spans="1:4" x14ac:dyDescent="0.2">
      <c r="A7">
        <v>6</v>
      </c>
      <c r="B7" t="s">
        <v>72</v>
      </c>
      <c r="C7">
        <v>42.966700000000003</v>
      </c>
      <c r="D7">
        <v>-75.5167</v>
      </c>
    </row>
    <row r="8" spans="1:4" x14ac:dyDescent="0.2">
      <c r="A8">
        <v>7</v>
      </c>
      <c r="B8" t="s">
        <v>73</v>
      </c>
      <c r="C8">
        <v>39.833300000000001</v>
      </c>
      <c r="D8">
        <v>-74.866699999999994</v>
      </c>
    </row>
    <row r="9" spans="1:4" x14ac:dyDescent="0.2">
      <c r="A9">
        <v>8</v>
      </c>
      <c r="B9" t="s">
        <v>74</v>
      </c>
      <c r="C9">
        <v>38.9833</v>
      </c>
      <c r="D9">
        <v>-75.5167</v>
      </c>
    </row>
    <row r="10" spans="1:4" x14ac:dyDescent="0.2">
      <c r="A10">
        <v>9</v>
      </c>
      <c r="B10" t="s">
        <v>75</v>
      </c>
      <c r="C10">
        <v>39.049999999999997</v>
      </c>
      <c r="D10">
        <v>-76.633300000000006</v>
      </c>
    </row>
    <row r="11" spans="1:4" x14ac:dyDescent="0.2">
      <c r="A11">
        <v>10</v>
      </c>
      <c r="B11" t="s">
        <v>76</v>
      </c>
      <c r="C11">
        <v>37.5167</v>
      </c>
      <c r="D11">
        <v>-78.633300000000006</v>
      </c>
    </row>
    <row r="12" spans="1:4" x14ac:dyDescent="0.2">
      <c r="A12">
        <v>11</v>
      </c>
      <c r="B12" t="s">
        <v>77</v>
      </c>
      <c r="C12">
        <v>35.783299999999997</v>
      </c>
      <c r="D12">
        <v>-79.816699999999997</v>
      </c>
    </row>
    <row r="13" spans="1:4" x14ac:dyDescent="0.2">
      <c r="A13">
        <v>12</v>
      </c>
      <c r="B13" t="s">
        <v>78</v>
      </c>
      <c r="C13">
        <v>33.833300000000001</v>
      </c>
      <c r="D13">
        <v>-81.166700000000006</v>
      </c>
    </row>
    <row r="14" spans="1:4" x14ac:dyDescent="0.2">
      <c r="A14">
        <v>13</v>
      </c>
      <c r="B14" t="s">
        <v>79</v>
      </c>
      <c r="C14">
        <v>32.716700000000003</v>
      </c>
      <c r="D14">
        <v>-83.5</v>
      </c>
    </row>
    <row r="15" spans="1:4" x14ac:dyDescent="0.2">
      <c r="A15">
        <v>14</v>
      </c>
      <c r="B15" t="s">
        <v>80</v>
      </c>
      <c r="C15">
        <v>28.133299999999998</v>
      </c>
      <c r="D15">
        <v>-81.633300000000006</v>
      </c>
    </row>
    <row r="16" spans="1:4" x14ac:dyDescent="0.2">
      <c r="A16">
        <v>15</v>
      </c>
      <c r="B16" t="s">
        <v>81</v>
      </c>
      <c r="C16">
        <v>31.466699999999999</v>
      </c>
      <c r="D16">
        <v>-99.333299999999994</v>
      </c>
    </row>
    <row r="17" spans="1:4" x14ac:dyDescent="0.2">
      <c r="A17">
        <v>16</v>
      </c>
      <c r="B17" t="s">
        <v>82</v>
      </c>
      <c r="C17">
        <v>30.4</v>
      </c>
      <c r="D17">
        <v>-92.333299999999994</v>
      </c>
    </row>
    <row r="18" spans="1:4" x14ac:dyDescent="0.2">
      <c r="A18">
        <v>17</v>
      </c>
      <c r="B18" t="s">
        <v>83</v>
      </c>
      <c r="C18">
        <v>32.7333</v>
      </c>
      <c r="D18">
        <v>-89.666700000000006</v>
      </c>
    </row>
    <row r="19" spans="1:4" x14ac:dyDescent="0.2">
      <c r="A19">
        <v>18</v>
      </c>
      <c r="B19" t="s">
        <v>84</v>
      </c>
      <c r="C19">
        <v>32.833300000000001</v>
      </c>
      <c r="D19">
        <v>-86.633300000000006</v>
      </c>
    </row>
    <row r="20" spans="1:4" x14ac:dyDescent="0.2">
      <c r="A20">
        <v>19</v>
      </c>
      <c r="B20" t="s">
        <v>85</v>
      </c>
      <c r="C20">
        <v>36.966700000000003</v>
      </c>
      <c r="D20">
        <v>-120.08329999999999</v>
      </c>
    </row>
    <row r="21" spans="1:4" x14ac:dyDescent="0.2">
      <c r="A21">
        <v>20</v>
      </c>
      <c r="B21" t="s">
        <v>86</v>
      </c>
      <c r="C21">
        <v>43.933300000000003</v>
      </c>
      <c r="D21">
        <v>-120.5667</v>
      </c>
    </row>
    <row r="22" spans="1:4" x14ac:dyDescent="0.2">
      <c r="A22">
        <v>21</v>
      </c>
      <c r="B22" t="s">
        <v>87</v>
      </c>
      <c r="C22">
        <v>47.75</v>
      </c>
      <c r="D22">
        <v>-120.7333</v>
      </c>
    </row>
    <row r="23" spans="1:4" x14ac:dyDescent="0.2">
      <c r="A23">
        <v>22</v>
      </c>
      <c r="B23" t="s">
        <v>88</v>
      </c>
      <c r="C23">
        <v>64.7333</v>
      </c>
      <c r="D23">
        <v>-152.4667</v>
      </c>
    </row>
    <row r="24" spans="1:4" x14ac:dyDescent="0.2">
      <c r="A24">
        <v>23</v>
      </c>
      <c r="B24" t="s">
        <v>89</v>
      </c>
      <c r="C24">
        <v>20.95</v>
      </c>
      <c r="D24">
        <v>-157.2833</v>
      </c>
    </row>
    <row r="25" spans="1:4" x14ac:dyDescent="0.2">
      <c r="A25">
        <v>99</v>
      </c>
      <c r="B25" t="s">
        <v>22</v>
      </c>
      <c r="C25">
        <v>39.833300000000001</v>
      </c>
      <c r="D25">
        <v>-98.583299999999994</v>
      </c>
    </row>
    <row r="26" spans="1:4" x14ac:dyDescent="0.2">
      <c r="A26">
        <v>999</v>
      </c>
      <c r="B26" t="s">
        <v>90</v>
      </c>
      <c r="C26">
        <v>25</v>
      </c>
      <c r="D26">
        <v>-90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08FD8-2D16-FF48-9551-B2866EA9BE4E}">
  <dimension ref="A1:AG251"/>
  <sheetViews>
    <sheetView topLeftCell="J1" workbookViewId="0">
      <selection activeCell="AF1" sqref="AF1"/>
    </sheetView>
  </sheetViews>
  <sheetFormatPr baseColWidth="10" defaultRowHeight="16" x14ac:dyDescent="0.2"/>
  <sheetData>
    <row r="1" spans="1:33" x14ac:dyDescent="0.2"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23</v>
      </c>
      <c r="M1" s="1"/>
      <c r="N1" s="1" t="s">
        <v>28</v>
      </c>
      <c r="O1" s="1"/>
      <c r="P1" s="1" t="s">
        <v>34</v>
      </c>
      <c r="Q1" s="1" t="s">
        <v>65</v>
      </c>
      <c r="R1" s="1" t="s">
        <v>20</v>
      </c>
      <c r="S1" s="1" t="s">
        <v>92</v>
      </c>
      <c r="T1" s="1" t="s">
        <v>91</v>
      </c>
      <c r="U1" s="1"/>
      <c r="V1" s="1" t="s">
        <v>40</v>
      </c>
      <c r="W1" s="1"/>
      <c r="X1" s="1" t="s">
        <v>46</v>
      </c>
      <c r="Y1" s="1"/>
      <c r="Z1" s="1" t="s">
        <v>52</v>
      </c>
      <c r="AA1" s="1"/>
      <c r="AB1" s="1" t="s">
        <v>58</v>
      </c>
      <c r="AC1" s="1" t="s">
        <v>59</v>
      </c>
      <c r="AD1" s="1" t="s">
        <v>60</v>
      </c>
      <c r="AE1" s="1" t="s">
        <v>61</v>
      </c>
      <c r="AF1" s="1" t="s">
        <v>62</v>
      </c>
      <c r="AG1" s="1" t="s">
        <v>63</v>
      </c>
    </row>
    <row r="2" spans="1:33" x14ac:dyDescent="0.2">
      <c r="A2">
        <f ca="1">RANDBETWEEN(1,6)</f>
        <v>1</v>
      </c>
      <c r="B2" t="str">
        <f ca="1">VLOOKUP('Master Sheet'!A2,'Code Options'!$A$1:$B$7,2)</f>
        <v>Composite</v>
      </c>
      <c r="C2">
        <f ca="1">RANDBETWEEN(1,3)</f>
        <v>3</v>
      </c>
      <c r="D2" t="str">
        <f ca="1">VLOOKUP('Master Sheet'!C2,'Code Options'!$A$1:$R$7,3)</f>
        <v>Unsure</v>
      </c>
      <c r="E2">
        <f ca="1">RANDBETWEEN(1,5)</f>
        <v>4</v>
      </c>
      <c r="F2" t="str">
        <f ca="1">VLOOKUP('Master Sheet'!E2,'Code Options'!$A$1:$R$7,4)</f>
        <v>LM</v>
      </c>
      <c r="G2">
        <f ca="1">RANDBETWEEN(1,3)</f>
        <v>3</v>
      </c>
      <c r="H2">
        <f ca="1">VLOOKUP('Master Sheet'!E2,'Code Options'!$A$1:$R$7,5)</f>
        <v>0</v>
      </c>
      <c r="I2">
        <f ca="1">RANDBETWEEN(1,4)</f>
        <v>1</v>
      </c>
      <c r="J2" t="str">
        <f ca="1">VLOOKUP('Master Sheet'!G2,'Code Options'!$A$1:$R$7,6)</f>
        <v>Regional</v>
      </c>
      <c r="K2">
        <f ca="1">RANDBETWEEN(1,4)</f>
        <v>1</v>
      </c>
      <c r="L2" t="str">
        <f ca="1">VLOOKUP('Master Sheet'!I2,'Code Options'!$A$1:$R$7,7)</f>
        <v>Habitat</v>
      </c>
      <c r="M2">
        <f ca="1">RANDBETWEEN(1,5)</f>
        <v>1</v>
      </c>
      <c r="N2" t="str">
        <f ca="1">VLOOKUP('Master Sheet'!K2,'Code Options'!$A$1:$R$7,8)</f>
        <v>Fish.Enhancement</v>
      </c>
      <c r="O2">
        <f ca="1">RANDBETWEEN(1,5)</f>
        <v>5</v>
      </c>
      <c r="P2" t="str">
        <f ca="1">VLOOKUP('Master Sheet'!E2,'Code Options'!$A$1:$R$7,9)</f>
        <v>Summ_Article</v>
      </c>
      <c r="Q2" cm="1">
        <f t="array" aca="1" ref="Q2" ca="1">_xlfn.IFS(P2 ="State_Plan", RANDBETWEEN(1,23), P2 ="State_Code", RANDBETWEEN(1,23), P2 = "Fed_Code", 99, P2 = "Summ_Article", 999, P2 = "Guide", 999)</f>
        <v>999</v>
      </c>
      <c r="R2" t="str">
        <f ca="1">VLOOKUP(Q2,'States and Locations'!$A$1:$B$26,2)</f>
        <v>UNK</v>
      </c>
      <c r="S2">
        <f ca="1">VLOOKUP(Q2,'States and Locations'!$A$1:$D$26,3)</f>
        <v>25</v>
      </c>
      <c r="T2">
        <f ca="1">VLOOKUP(Q2,'States and Locations'!$A$1:$D$26,4)</f>
        <v>-90</v>
      </c>
      <c r="U2">
        <f ca="1">RANDBETWEEN(1,5)</f>
        <v>2</v>
      </c>
      <c r="V2" t="str">
        <f ca="1">VLOOKUP('Master Sheet'!E2,'Code Options'!$A$1:$R$7,10)</f>
        <v>Hab_restoration</v>
      </c>
      <c r="W2">
        <f ca="1">RANDBETWEEN(1,5)</f>
        <v>4</v>
      </c>
      <c r="X2" t="str">
        <f ca="1">VLOOKUP('Master Sheet'!E2,'Code Options'!$A$1:$R$7,11)</f>
        <v>Non-Fish_rec</v>
      </c>
      <c r="Y2">
        <f ca="1">RANDBETWEEN(1,5)</f>
        <v>2</v>
      </c>
      <c r="Z2" t="str">
        <f ca="1">VLOOKUP('Master Sheet'!E2,'Code Options'!$A$1:$R$7,12)</f>
        <v>people_interested</v>
      </c>
    </row>
    <row r="3" spans="1:33" x14ac:dyDescent="0.2">
      <c r="A3">
        <f t="shared" ref="A3:A66" ca="1" si="0">RANDBETWEEN(1,6)</f>
        <v>3</v>
      </c>
      <c r="B3" t="str">
        <f ca="1">VLOOKUP('Master Sheet'!A3,'Code Options'!$A$1:$B$7,2)</f>
        <v>Metal</v>
      </c>
      <c r="C3">
        <f t="shared" ref="C3:C66" ca="1" si="1">RANDBETWEEN(1,3)</f>
        <v>2</v>
      </c>
      <c r="D3" t="str">
        <f ca="1">VLOOKUP('Master Sheet'!C3,'Code Options'!$A$1:$R$7,3)</f>
        <v>Pro</v>
      </c>
      <c r="E3">
        <f t="shared" ref="E3:E66" ca="1" si="2">RANDBETWEEN(1,5)</f>
        <v>1</v>
      </c>
      <c r="F3" t="str">
        <f ca="1">VLOOKUP('Master Sheet'!E3,'Code Options'!$A$1:$R$7,4)</f>
        <v>Will</v>
      </c>
      <c r="G3">
        <f t="shared" ref="G3:G66" ca="1" si="3">RANDBETWEEN(1,3)</f>
        <v>2</v>
      </c>
      <c r="H3" t="str">
        <f ca="1">VLOOKUP('Master Sheet'!E3,'Code Options'!$A$1:$R$7,5)</f>
        <v>Will</v>
      </c>
      <c r="I3">
        <f t="shared" ref="I3:I66" ca="1" si="4">RANDBETWEEN(1,4)</f>
        <v>3</v>
      </c>
      <c r="J3" t="str">
        <f ca="1">VLOOKUP('Master Sheet'!G3,'Code Options'!$A$1:$R$7,6)</f>
        <v>State</v>
      </c>
      <c r="K3">
        <f t="shared" ref="K3:K66" ca="1" si="5">RANDBETWEEN(1,4)</f>
        <v>4</v>
      </c>
      <c r="L3" t="str">
        <f ca="1">VLOOKUP('Master Sheet'!I3,'Code Options'!$A$1:$R$7,7)</f>
        <v>Aggregation</v>
      </c>
      <c r="M3">
        <f t="shared" ref="M3:M66" ca="1" si="6">RANDBETWEEN(1,5)</f>
        <v>1</v>
      </c>
      <c r="N3" t="str">
        <f ca="1">VLOOKUP('Master Sheet'!K3,'Code Options'!$A$1:$R$7,8)</f>
        <v>Creation of AR Mat</v>
      </c>
      <c r="O3">
        <f t="shared" ref="O3:O66" ca="1" si="7">RANDBETWEEN(1,5)</f>
        <v>5</v>
      </c>
      <c r="P3" t="str">
        <f ca="1">VLOOKUP('Master Sheet'!E3,'Code Options'!$A$1:$R$7,9)</f>
        <v>State_Code</v>
      </c>
      <c r="Q3" cm="1">
        <f t="array" aca="1" ref="Q3" ca="1">_xlfn.IFS(P3 ="State_Plan", RANDBETWEEN(1,23), P3 ="State_Code", RANDBETWEEN(1,23), P3 = "Fed_Code", 99, P3 = "Summ_Article", 999, P3 = "Guide", 999)</f>
        <v>20</v>
      </c>
      <c r="R3" t="str">
        <f ca="1">VLOOKUP(Q3,'States and Locations'!$A$1:$B$26,2)</f>
        <v>Oregon</v>
      </c>
      <c r="S3">
        <f ca="1">VLOOKUP(Q3,'States and Locations'!$A$1:$D$26,3)</f>
        <v>43.933300000000003</v>
      </c>
      <c r="T3">
        <f ca="1">VLOOKUP(Q3,'States and Locations'!$A$1:$D$26,4)</f>
        <v>-120.5667</v>
      </c>
      <c r="U3">
        <f t="shared" ref="U3:U66" ca="1" si="8">RANDBETWEEN(1,5)</f>
        <v>3</v>
      </c>
      <c r="V3" t="str">
        <f ca="1">VLOOKUP('Master Sheet'!E3,'Code Options'!$A$1:$R$7,10)</f>
        <v>Hab_enhancement</v>
      </c>
      <c r="W3">
        <f t="shared" ref="W3:W66" ca="1" si="9">RANDBETWEEN(1,5)</f>
        <v>2</v>
      </c>
      <c r="X3" t="str">
        <f ca="1">VLOOKUP('Master Sheet'!E3,'Code Options'!$A$1:$R$7,11)</f>
        <v>Rec_Fish</v>
      </c>
      <c r="Y3">
        <f t="shared" ref="Y3:Y66" ca="1" si="10">RANDBETWEEN(1,5)</f>
        <v>2</v>
      </c>
      <c r="Z3" t="str">
        <f ca="1">VLOOKUP('Master Sheet'!E3,'Code Options'!$A$1:$R$7,12)</f>
        <v>AR_proj_plan_mngrs</v>
      </c>
    </row>
    <row r="4" spans="1:33" x14ac:dyDescent="0.2">
      <c r="A4">
        <f t="shared" ca="1" si="0"/>
        <v>5</v>
      </c>
      <c r="B4" t="str">
        <f ca="1">VLOOKUP('Master Sheet'!A4,'Code Options'!$A$1:$B$7,2)</f>
        <v>Rock</v>
      </c>
      <c r="C4">
        <f t="shared" ca="1" si="1"/>
        <v>3</v>
      </c>
      <c r="D4" t="str">
        <f ca="1">VLOOKUP('Master Sheet'!C4,'Code Options'!$A$1:$R$7,3)</f>
        <v>Unsure</v>
      </c>
      <c r="E4">
        <f t="shared" ca="1" si="2"/>
        <v>3</v>
      </c>
      <c r="F4" t="str">
        <f ca="1">VLOOKUP('Master Sheet'!E4,'Code Options'!$A$1:$R$7,4)</f>
        <v>Jon</v>
      </c>
      <c r="G4">
        <f t="shared" ca="1" si="3"/>
        <v>3</v>
      </c>
      <c r="H4" t="str">
        <f ca="1">VLOOKUP('Master Sheet'!E4,'Code Options'!$A$1:$R$7,5)</f>
        <v>Nick</v>
      </c>
      <c r="I4">
        <f t="shared" ca="1" si="4"/>
        <v>3</v>
      </c>
      <c r="J4" t="str">
        <f ca="1">VLOOKUP('Master Sheet'!G4,'Code Options'!$A$1:$R$7,6)</f>
        <v>Regional</v>
      </c>
      <c r="K4">
        <f t="shared" ca="1" si="5"/>
        <v>3</v>
      </c>
      <c r="L4" t="str">
        <f ca="1">VLOOKUP('Master Sheet'!I4,'Code Options'!$A$1:$R$7,7)</f>
        <v>Aggregation</v>
      </c>
      <c r="M4">
        <f t="shared" ca="1" si="6"/>
        <v>1</v>
      </c>
      <c r="N4" t="str">
        <f ca="1">VLOOKUP('Master Sheet'!K4,'Code Options'!$A$1:$R$7,8)</f>
        <v>Rec.Fish.Mngmt</v>
      </c>
      <c r="O4">
        <f t="shared" ca="1" si="7"/>
        <v>3</v>
      </c>
      <c r="P4" t="str">
        <f ca="1">VLOOKUP('Master Sheet'!E4,'Code Options'!$A$1:$R$7,9)</f>
        <v>State_Plan</v>
      </c>
      <c r="Q4" cm="1">
        <f t="array" aca="1" ref="Q4" ca="1">_xlfn.IFS(P4 ="State_Plan", RANDBETWEEN(1,23), P4 ="State_Code", RANDBETWEEN(1,23), P4 = "Fed_Code", 99, P4 = "Summ_Article", 999, P4 = "Guide", 999)</f>
        <v>6</v>
      </c>
      <c r="R4" t="str">
        <f ca="1">VLOOKUP(Q4,'States and Locations'!$A$1:$B$26,2)</f>
        <v>New York</v>
      </c>
      <c r="S4">
        <f ca="1">VLOOKUP(Q4,'States and Locations'!$A$1:$D$26,3)</f>
        <v>42.966700000000003</v>
      </c>
      <c r="T4">
        <f ca="1">VLOOKUP(Q4,'States and Locations'!$A$1:$D$26,4)</f>
        <v>-75.5167</v>
      </c>
      <c r="U4">
        <f t="shared" ca="1" si="8"/>
        <v>4</v>
      </c>
      <c r="V4" t="str">
        <f ca="1">VLOOKUP('Master Sheet'!E4,'Code Options'!$A$1:$R$7,10)</f>
        <v>Mitig.</v>
      </c>
      <c r="W4">
        <f t="shared" ca="1" si="9"/>
        <v>4</v>
      </c>
      <c r="X4" t="str">
        <f ca="1">VLOOKUP('Master Sheet'!E4,'Code Options'!$A$1:$R$7,11)</f>
        <v>Chart_Fish</v>
      </c>
      <c r="Y4">
        <f t="shared" ca="1" si="10"/>
        <v>1</v>
      </c>
      <c r="Z4" t="str">
        <f ca="1">VLOOKUP('Master Sheet'!E4,'Code Options'!$A$1:$R$7,12)</f>
        <v>Permit_reg_agencies</v>
      </c>
    </row>
    <row r="5" spans="1:33" x14ac:dyDescent="0.2">
      <c r="A5">
        <f t="shared" ca="1" si="0"/>
        <v>1</v>
      </c>
      <c r="B5" t="str">
        <f ca="1">VLOOKUP('Master Sheet'!A5,'Code Options'!$A$1:$B$7,2)</f>
        <v>Composite</v>
      </c>
      <c r="C5">
        <f t="shared" ca="1" si="1"/>
        <v>1</v>
      </c>
      <c r="D5" t="str">
        <f ca="1">VLOOKUP('Master Sheet'!C5,'Code Options'!$A$1:$R$7,3)</f>
        <v>Retro</v>
      </c>
      <c r="E5">
        <f t="shared" ca="1" si="2"/>
        <v>5</v>
      </c>
      <c r="F5" t="str">
        <f ca="1">VLOOKUP('Master Sheet'!E5,'Code Options'!$A$1:$R$7,4)</f>
        <v>Nick</v>
      </c>
      <c r="G5">
        <f t="shared" ca="1" si="3"/>
        <v>1</v>
      </c>
      <c r="H5">
        <f ca="1">VLOOKUP('Master Sheet'!E5,'Code Options'!$A$1:$R$7,5)</f>
        <v>0</v>
      </c>
      <c r="I5">
        <f t="shared" ca="1" si="4"/>
        <v>3</v>
      </c>
      <c r="J5" t="str">
        <f ca="1">VLOOKUP('Master Sheet'!G5,'Code Options'!$A$1:$R$7,6)</f>
        <v>County/Local</v>
      </c>
      <c r="K5">
        <f t="shared" ca="1" si="5"/>
        <v>4</v>
      </c>
      <c r="L5" t="str">
        <f ca="1">VLOOKUP('Master Sheet'!I5,'Code Options'!$A$1:$R$7,7)</f>
        <v>Aggregation</v>
      </c>
      <c r="M5">
        <f t="shared" ca="1" si="6"/>
        <v>1</v>
      </c>
      <c r="N5" t="str">
        <f ca="1">VLOOKUP('Master Sheet'!K5,'Code Options'!$A$1:$R$7,8)</f>
        <v>Creation of AR Mat</v>
      </c>
      <c r="O5">
        <f t="shared" ca="1" si="7"/>
        <v>4</v>
      </c>
      <c r="P5" t="str">
        <f ca="1">VLOOKUP('Master Sheet'!E5,'Code Options'!$A$1:$R$7,9)</f>
        <v>Guide</v>
      </c>
      <c r="Q5" cm="1">
        <f t="array" aca="1" ref="Q5" ca="1">_xlfn.IFS(P5 ="State_Plan", RANDBETWEEN(1,23), P5 ="State_Code", RANDBETWEEN(1,23), P5 = "Fed_Code", 99, P5 = "Summ_Article", 999, P5 = "Guide", 999)</f>
        <v>999</v>
      </c>
      <c r="R5" t="str">
        <f ca="1">VLOOKUP(Q5,'States and Locations'!$A$1:$B$26,2)</f>
        <v>UNK</v>
      </c>
      <c r="S5">
        <f ca="1">VLOOKUP(Q5,'States and Locations'!$A$1:$D$26,3)</f>
        <v>25</v>
      </c>
      <c r="T5">
        <f ca="1">VLOOKUP(Q5,'States and Locations'!$A$1:$D$26,4)</f>
        <v>-90</v>
      </c>
      <c r="U5">
        <f t="shared" ca="1" si="8"/>
        <v>3</v>
      </c>
      <c r="V5" t="str">
        <f ca="1">VLOOKUP('Master Sheet'!E5,'Code Options'!$A$1:$R$7,10)</f>
        <v>Wave_attenuation</v>
      </c>
      <c r="W5">
        <f t="shared" ca="1" si="9"/>
        <v>4</v>
      </c>
      <c r="X5" t="str">
        <f ca="1">VLOOKUP('Master Sheet'!E5,'Code Options'!$A$1:$R$7,11)</f>
        <v>Scuba</v>
      </c>
      <c r="Y5">
        <f t="shared" ca="1" si="10"/>
        <v>5</v>
      </c>
      <c r="Z5" t="str">
        <f ca="1">VLOOKUP('Master Sheet'!E5,'Code Options'!$A$1:$R$7,12)</f>
        <v>anglers</v>
      </c>
    </row>
    <row r="6" spans="1:33" x14ac:dyDescent="0.2">
      <c r="A6">
        <f t="shared" ca="1" si="0"/>
        <v>1</v>
      </c>
      <c r="B6" t="str">
        <f ca="1">VLOOKUP('Master Sheet'!A6,'Code Options'!$A$1:$B$7,2)</f>
        <v>Composite</v>
      </c>
      <c r="C6">
        <f t="shared" ca="1" si="1"/>
        <v>1</v>
      </c>
      <c r="D6" t="str">
        <f ca="1">VLOOKUP('Master Sheet'!C6,'Code Options'!$A$1:$R$7,3)</f>
        <v>Retro</v>
      </c>
      <c r="E6">
        <f t="shared" ca="1" si="2"/>
        <v>3</v>
      </c>
      <c r="F6" t="str">
        <f ca="1">VLOOKUP('Master Sheet'!E6,'Code Options'!$A$1:$R$7,4)</f>
        <v>Jon</v>
      </c>
      <c r="G6">
        <f t="shared" ca="1" si="3"/>
        <v>3</v>
      </c>
      <c r="H6" t="str">
        <f ca="1">VLOOKUP('Master Sheet'!E6,'Code Options'!$A$1:$R$7,5)</f>
        <v>Nick</v>
      </c>
      <c r="I6">
        <f t="shared" ca="1" si="4"/>
        <v>1</v>
      </c>
      <c r="J6" t="str">
        <f ca="1">VLOOKUP('Master Sheet'!G6,'Code Options'!$A$1:$R$7,6)</f>
        <v>Regional</v>
      </c>
      <c r="K6">
        <f t="shared" ca="1" si="5"/>
        <v>4</v>
      </c>
      <c r="L6" t="str">
        <f ca="1">VLOOKUP('Master Sheet'!I6,'Code Options'!$A$1:$R$7,7)</f>
        <v>Habitat</v>
      </c>
      <c r="M6">
        <f t="shared" ca="1" si="6"/>
        <v>5</v>
      </c>
      <c r="N6" t="str">
        <f ca="1">VLOOKUP('Master Sheet'!K6,'Code Options'!$A$1:$R$7,8)</f>
        <v>Creation of AR Mat</v>
      </c>
      <c r="O6">
        <f t="shared" ca="1" si="7"/>
        <v>1</v>
      </c>
      <c r="P6" t="str">
        <f ca="1">VLOOKUP('Master Sheet'!E6,'Code Options'!$A$1:$R$7,9)</f>
        <v>State_Plan</v>
      </c>
      <c r="Q6" cm="1">
        <f t="array" aca="1" ref="Q6" ca="1">_xlfn.IFS(P6 ="State_Plan", RANDBETWEEN(1,23), P6 ="State_Code", RANDBETWEEN(1,23), P6 = "Fed_Code", 99, P6 = "Summ_Article", 999, P6 = "Guide", 999)</f>
        <v>5</v>
      </c>
      <c r="R6" t="str">
        <f ca="1">VLOOKUP(Q6,'States and Locations'!$A$1:$B$26,2)</f>
        <v>Connecticut</v>
      </c>
      <c r="S6">
        <f ca="1">VLOOKUP(Q6,'States and Locations'!$A$1:$D$26,3)</f>
        <v>41.6</v>
      </c>
      <c r="T6">
        <f ca="1">VLOOKUP(Q6,'States and Locations'!$A$1:$D$26,4)</f>
        <v>-72.7</v>
      </c>
      <c r="U6">
        <f t="shared" ca="1" si="8"/>
        <v>4</v>
      </c>
      <c r="V6" t="str">
        <f ca="1">VLOOKUP('Master Sheet'!E6,'Code Options'!$A$1:$R$7,10)</f>
        <v>Mitig.</v>
      </c>
      <c r="W6">
        <f t="shared" ca="1" si="9"/>
        <v>2</v>
      </c>
      <c r="X6" t="str">
        <f ca="1">VLOOKUP('Master Sheet'!E6,'Code Options'!$A$1:$R$7,11)</f>
        <v>Chart_Fish</v>
      </c>
      <c r="Y6">
        <f t="shared" ca="1" si="10"/>
        <v>5</v>
      </c>
      <c r="Z6" t="str">
        <f ca="1">VLOOKUP('Master Sheet'!E6,'Code Options'!$A$1:$R$7,12)</f>
        <v>Permit_reg_agencies</v>
      </c>
    </row>
    <row r="7" spans="1:33" x14ac:dyDescent="0.2">
      <c r="A7">
        <f t="shared" ca="1" si="0"/>
        <v>5</v>
      </c>
      <c r="B7" t="str">
        <f ca="1">VLOOKUP('Master Sheet'!A7,'Code Options'!$A$1:$B$7,2)</f>
        <v>Rock</v>
      </c>
      <c r="C7">
        <f t="shared" ca="1" si="1"/>
        <v>2</v>
      </c>
      <c r="D7" t="str">
        <f ca="1">VLOOKUP('Master Sheet'!C7,'Code Options'!$A$1:$R$7,3)</f>
        <v>Pro</v>
      </c>
      <c r="E7">
        <f t="shared" ca="1" si="2"/>
        <v>2</v>
      </c>
      <c r="F7" t="str">
        <f ca="1">VLOOKUP('Master Sheet'!E7,'Code Options'!$A$1:$R$7,4)</f>
        <v>Cyndi</v>
      </c>
      <c r="G7">
        <f t="shared" ca="1" si="3"/>
        <v>3</v>
      </c>
      <c r="H7" t="str">
        <f ca="1">VLOOKUP('Master Sheet'!E7,'Code Options'!$A$1:$R$7,5)</f>
        <v>Cyndi</v>
      </c>
      <c r="I7">
        <f t="shared" ca="1" si="4"/>
        <v>2</v>
      </c>
      <c r="J7" t="str">
        <f ca="1">VLOOKUP('Master Sheet'!G7,'Code Options'!$A$1:$R$7,6)</f>
        <v>Regional</v>
      </c>
      <c r="K7">
        <f t="shared" ca="1" si="5"/>
        <v>2</v>
      </c>
      <c r="L7" t="str">
        <f ca="1">VLOOKUP('Master Sheet'!I7,'Code Options'!$A$1:$R$7,7)</f>
        <v>Production</v>
      </c>
      <c r="M7">
        <f t="shared" ca="1" si="6"/>
        <v>5</v>
      </c>
      <c r="N7" t="str">
        <f ca="1">VLOOKUP('Master Sheet'!K7,'Code Options'!$A$1:$R$7,8)</f>
        <v>Comm.Fish.Mngmt</v>
      </c>
      <c r="O7">
        <f t="shared" ca="1" si="7"/>
        <v>5</v>
      </c>
      <c r="P7" t="str">
        <f ca="1">VLOOKUP('Master Sheet'!E7,'Code Options'!$A$1:$R$7,9)</f>
        <v>Fed_Code</v>
      </c>
      <c r="Q7" cm="1">
        <f t="array" aca="1" ref="Q7" ca="1">_xlfn.IFS(P7 ="State_Plan", RANDBETWEEN(1,23), P7 ="State_Code", RANDBETWEEN(1,23), P7 = "Fed_Code", 99, P7 = "Summ_Article", 999, P7 = "Guide", 999)</f>
        <v>99</v>
      </c>
      <c r="R7" t="str">
        <f ca="1">VLOOKUP(Q7,'States and Locations'!$A$1:$B$26,2)</f>
        <v>National</v>
      </c>
      <c r="S7">
        <f ca="1">VLOOKUP(Q7,'States and Locations'!$A$1:$D$26,3)</f>
        <v>39.833300000000001</v>
      </c>
      <c r="T7">
        <f ca="1">VLOOKUP(Q7,'States and Locations'!$A$1:$D$26,4)</f>
        <v>-98.583299999999994</v>
      </c>
      <c r="U7">
        <f t="shared" ca="1" si="8"/>
        <v>2</v>
      </c>
      <c r="V7" t="str">
        <f ca="1">VLOOKUP('Master Sheet'!E7,'Code Options'!$A$1:$R$7,10)</f>
        <v>Disposal</v>
      </c>
      <c r="W7">
        <f t="shared" ca="1" si="9"/>
        <v>4</v>
      </c>
      <c r="X7" t="str">
        <f ca="1">VLOOKUP('Master Sheet'!E7,'Code Options'!$A$1:$R$7,11)</f>
        <v>Comm_Fish</v>
      </c>
      <c r="Y7">
        <f t="shared" ca="1" si="10"/>
        <v>4</v>
      </c>
      <c r="Z7" t="str">
        <f ca="1">VLOOKUP('Master Sheet'!E7,'Code Options'!$A$1:$R$7,12)</f>
        <v>AS_constructors</v>
      </c>
    </row>
    <row r="8" spans="1:33" x14ac:dyDescent="0.2">
      <c r="A8">
        <f t="shared" ca="1" si="0"/>
        <v>1</v>
      </c>
      <c r="B8" t="str">
        <f ca="1">VLOOKUP('Master Sheet'!A8,'Code Options'!$A$1:$B$7,2)</f>
        <v>Composite</v>
      </c>
      <c r="C8">
        <f t="shared" ca="1" si="1"/>
        <v>1</v>
      </c>
      <c r="D8" t="str">
        <f ca="1">VLOOKUP('Master Sheet'!C8,'Code Options'!$A$1:$R$7,3)</f>
        <v>Retro</v>
      </c>
      <c r="E8">
        <f t="shared" ca="1" si="2"/>
        <v>2</v>
      </c>
      <c r="F8" t="str">
        <f ca="1">VLOOKUP('Master Sheet'!E8,'Code Options'!$A$1:$R$7,4)</f>
        <v>Cyndi</v>
      </c>
      <c r="G8">
        <f t="shared" ca="1" si="3"/>
        <v>3</v>
      </c>
      <c r="H8" t="str">
        <f ca="1">VLOOKUP('Master Sheet'!E8,'Code Options'!$A$1:$R$7,5)</f>
        <v>Cyndi</v>
      </c>
      <c r="I8">
        <f t="shared" ca="1" si="4"/>
        <v>4</v>
      </c>
      <c r="J8" t="str">
        <f ca="1">VLOOKUP('Master Sheet'!G8,'Code Options'!$A$1:$R$7,6)</f>
        <v>Regional</v>
      </c>
      <c r="K8">
        <f t="shared" ca="1" si="5"/>
        <v>1</v>
      </c>
      <c r="L8" t="str">
        <f ca="1">VLOOKUP('Master Sheet'!I8,'Code Options'!$A$1:$R$7,7)</f>
        <v>Biodiversity</v>
      </c>
      <c r="M8">
        <f t="shared" ca="1" si="6"/>
        <v>4</v>
      </c>
      <c r="N8" t="str">
        <f ca="1">VLOOKUP('Master Sheet'!K8,'Code Options'!$A$1:$R$7,8)</f>
        <v>Fish.Enhancement</v>
      </c>
      <c r="O8">
        <f t="shared" ca="1" si="7"/>
        <v>1</v>
      </c>
      <c r="P8" t="str">
        <f ca="1">VLOOKUP('Master Sheet'!E8,'Code Options'!$A$1:$R$7,9)</f>
        <v>Fed_Code</v>
      </c>
      <c r="Q8" cm="1">
        <f t="array" aca="1" ref="Q8" ca="1">_xlfn.IFS(P8 ="State_Plan", RANDBETWEEN(1,23), P8 ="State_Code", RANDBETWEEN(1,23), P8 = "Fed_Code", 99, P8 = "Summ_Article", 999, P8 = "Guide", 999)</f>
        <v>99</v>
      </c>
      <c r="R8" t="str">
        <f ca="1">VLOOKUP(Q8,'States and Locations'!$A$1:$B$26,2)</f>
        <v>National</v>
      </c>
      <c r="S8">
        <f ca="1">VLOOKUP(Q8,'States and Locations'!$A$1:$D$26,3)</f>
        <v>39.833300000000001</v>
      </c>
      <c r="T8">
        <f ca="1">VLOOKUP(Q8,'States and Locations'!$A$1:$D$26,4)</f>
        <v>-98.583299999999994</v>
      </c>
      <c r="U8">
        <f t="shared" ca="1" si="8"/>
        <v>2</v>
      </c>
      <c r="V8" t="str">
        <f ca="1">VLOOKUP('Master Sheet'!E8,'Code Options'!$A$1:$R$7,10)</f>
        <v>Disposal</v>
      </c>
      <c r="W8">
        <f t="shared" ca="1" si="9"/>
        <v>5</v>
      </c>
      <c r="X8" t="str">
        <f ca="1">VLOOKUP('Master Sheet'!E8,'Code Options'!$A$1:$R$7,11)</f>
        <v>Comm_Fish</v>
      </c>
      <c r="Y8">
        <f t="shared" ca="1" si="10"/>
        <v>5</v>
      </c>
      <c r="Z8" t="str">
        <f ca="1">VLOOKUP('Master Sheet'!E8,'Code Options'!$A$1:$R$7,12)</f>
        <v>AS_constructors</v>
      </c>
    </row>
    <row r="9" spans="1:33" x14ac:dyDescent="0.2">
      <c r="A9">
        <f t="shared" ca="1" si="0"/>
        <v>2</v>
      </c>
      <c r="B9" t="str">
        <f ca="1">VLOOKUP('Master Sheet'!A9,'Code Options'!$A$1:$B$7,2)</f>
        <v>Concrete</v>
      </c>
      <c r="C9">
        <f t="shared" ca="1" si="1"/>
        <v>3</v>
      </c>
      <c r="D9" t="str">
        <f ca="1">VLOOKUP('Master Sheet'!C9,'Code Options'!$A$1:$R$7,3)</f>
        <v>Unsure</v>
      </c>
      <c r="E9">
        <f t="shared" ca="1" si="2"/>
        <v>1</v>
      </c>
      <c r="F9" t="str">
        <f ca="1">VLOOKUP('Master Sheet'!E9,'Code Options'!$A$1:$R$7,4)</f>
        <v>Will</v>
      </c>
      <c r="G9">
        <f t="shared" ca="1" si="3"/>
        <v>3</v>
      </c>
      <c r="H9" t="str">
        <f ca="1">VLOOKUP('Master Sheet'!E9,'Code Options'!$A$1:$R$7,5)</f>
        <v>Will</v>
      </c>
      <c r="I9">
        <f t="shared" ca="1" si="4"/>
        <v>4</v>
      </c>
      <c r="J9" t="str">
        <f ca="1">VLOOKUP('Master Sheet'!G9,'Code Options'!$A$1:$R$7,6)</f>
        <v>Regional</v>
      </c>
      <c r="K9">
        <f t="shared" ca="1" si="5"/>
        <v>2</v>
      </c>
      <c r="L9" t="str">
        <f ca="1">VLOOKUP('Master Sheet'!I9,'Code Options'!$A$1:$R$7,7)</f>
        <v>Biodiversity</v>
      </c>
      <c r="M9">
        <f t="shared" ca="1" si="6"/>
        <v>1</v>
      </c>
      <c r="N9" t="str">
        <f ca="1">VLOOKUP('Master Sheet'!K9,'Code Options'!$A$1:$R$7,8)</f>
        <v>Comm.Fish.Mngmt</v>
      </c>
      <c r="O9">
        <f t="shared" ca="1" si="7"/>
        <v>1</v>
      </c>
      <c r="P9" t="str">
        <f ca="1">VLOOKUP('Master Sheet'!E9,'Code Options'!$A$1:$R$7,9)</f>
        <v>State_Code</v>
      </c>
      <c r="Q9" cm="1">
        <f t="array" aca="1" ref="Q9" ca="1">_xlfn.IFS(P9 ="State_Plan", RANDBETWEEN(1,23), P9 ="State_Code", RANDBETWEEN(1,23), P9 = "Fed_Code", 99, P9 = "Summ_Article", 999, P9 = "Guide", 999)</f>
        <v>23</v>
      </c>
      <c r="R9" t="str">
        <f ca="1">VLOOKUP(Q9,'States and Locations'!$A$1:$B$26,2)</f>
        <v>Hawaii</v>
      </c>
      <c r="S9">
        <f ca="1">VLOOKUP(Q9,'States and Locations'!$A$1:$D$26,3)</f>
        <v>20.95</v>
      </c>
      <c r="T9">
        <f ca="1">VLOOKUP(Q9,'States and Locations'!$A$1:$D$26,4)</f>
        <v>-157.2833</v>
      </c>
      <c r="U9">
        <f t="shared" ca="1" si="8"/>
        <v>2</v>
      </c>
      <c r="V9" t="str">
        <f ca="1">VLOOKUP('Master Sheet'!E9,'Code Options'!$A$1:$R$7,10)</f>
        <v>Hab_enhancement</v>
      </c>
      <c r="W9">
        <f t="shared" ca="1" si="9"/>
        <v>3</v>
      </c>
      <c r="X9" t="str">
        <f ca="1">VLOOKUP('Master Sheet'!E9,'Code Options'!$A$1:$R$7,11)</f>
        <v>Rec_Fish</v>
      </c>
      <c r="Y9">
        <f t="shared" ca="1" si="10"/>
        <v>4</v>
      </c>
      <c r="Z9" t="str">
        <f ca="1">VLOOKUP('Master Sheet'!E9,'Code Options'!$A$1:$R$7,12)</f>
        <v>AR_proj_plan_mngrs</v>
      </c>
    </row>
    <row r="10" spans="1:33" x14ac:dyDescent="0.2">
      <c r="A10">
        <f t="shared" ca="1" si="0"/>
        <v>5</v>
      </c>
      <c r="B10" t="str">
        <f ca="1">VLOOKUP('Master Sheet'!A10,'Code Options'!$A$1:$B$7,2)</f>
        <v>Rock</v>
      </c>
      <c r="C10">
        <f t="shared" ca="1" si="1"/>
        <v>2</v>
      </c>
      <c r="D10" t="str">
        <f ca="1">VLOOKUP('Master Sheet'!C10,'Code Options'!$A$1:$R$7,3)</f>
        <v>Pro</v>
      </c>
      <c r="E10">
        <f t="shared" ca="1" si="2"/>
        <v>2</v>
      </c>
      <c r="F10" t="str">
        <f ca="1">VLOOKUP('Master Sheet'!E10,'Code Options'!$A$1:$R$7,4)</f>
        <v>Cyndi</v>
      </c>
      <c r="G10">
        <f t="shared" ca="1" si="3"/>
        <v>2</v>
      </c>
      <c r="H10" t="str">
        <f ca="1">VLOOKUP('Master Sheet'!E10,'Code Options'!$A$1:$R$7,5)</f>
        <v>Cyndi</v>
      </c>
      <c r="I10">
        <f t="shared" ca="1" si="4"/>
        <v>3</v>
      </c>
      <c r="J10" t="str">
        <f ca="1">VLOOKUP('Master Sheet'!G10,'Code Options'!$A$1:$R$7,6)</f>
        <v>State</v>
      </c>
      <c r="K10">
        <f t="shared" ca="1" si="5"/>
        <v>2</v>
      </c>
      <c r="L10" t="str">
        <f ca="1">VLOOKUP('Master Sheet'!I10,'Code Options'!$A$1:$R$7,7)</f>
        <v>Aggregation</v>
      </c>
      <c r="M10">
        <f t="shared" ca="1" si="6"/>
        <v>2</v>
      </c>
      <c r="N10" t="str">
        <f ca="1">VLOOKUP('Master Sheet'!K10,'Code Options'!$A$1:$R$7,8)</f>
        <v>Comm.Fish.Mngmt</v>
      </c>
      <c r="O10">
        <f t="shared" ca="1" si="7"/>
        <v>1</v>
      </c>
      <c r="P10" t="str">
        <f ca="1">VLOOKUP('Master Sheet'!E10,'Code Options'!$A$1:$R$7,9)</f>
        <v>Fed_Code</v>
      </c>
      <c r="Q10" cm="1">
        <f t="array" aca="1" ref="Q10" ca="1">_xlfn.IFS(P10 ="State_Plan", RANDBETWEEN(1,23), P10 ="State_Code", RANDBETWEEN(1,23), P10 = "Fed_Code", 99, P10 = "Summ_Article", 999, P10 = "Guide", 999)</f>
        <v>99</v>
      </c>
      <c r="R10" t="str">
        <f ca="1">VLOOKUP(Q10,'States and Locations'!$A$1:$B$26,2)</f>
        <v>National</v>
      </c>
      <c r="S10">
        <f ca="1">VLOOKUP(Q10,'States and Locations'!$A$1:$D$26,3)</f>
        <v>39.833300000000001</v>
      </c>
      <c r="T10">
        <f ca="1">VLOOKUP(Q10,'States and Locations'!$A$1:$D$26,4)</f>
        <v>-98.583299999999994</v>
      </c>
      <c r="U10">
        <f t="shared" ca="1" si="8"/>
        <v>2</v>
      </c>
      <c r="V10" t="str">
        <f ca="1">VLOOKUP('Master Sheet'!E10,'Code Options'!$A$1:$R$7,10)</f>
        <v>Disposal</v>
      </c>
      <c r="W10">
        <f t="shared" ca="1" si="9"/>
        <v>1</v>
      </c>
      <c r="X10" t="str">
        <f ca="1">VLOOKUP('Master Sheet'!E10,'Code Options'!$A$1:$R$7,11)</f>
        <v>Comm_Fish</v>
      </c>
      <c r="Y10">
        <f t="shared" ca="1" si="10"/>
        <v>1</v>
      </c>
      <c r="Z10" t="str">
        <f ca="1">VLOOKUP('Master Sheet'!E10,'Code Options'!$A$1:$R$7,12)</f>
        <v>AS_constructors</v>
      </c>
    </row>
    <row r="11" spans="1:33" x14ac:dyDescent="0.2">
      <c r="A11">
        <f t="shared" ca="1" si="0"/>
        <v>2</v>
      </c>
      <c r="B11" t="str">
        <f ca="1">VLOOKUP('Master Sheet'!A11,'Code Options'!$A$1:$B$7,2)</f>
        <v>Concrete</v>
      </c>
      <c r="C11">
        <f t="shared" ca="1" si="1"/>
        <v>1</v>
      </c>
      <c r="D11" t="str">
        <f ca="1">VLOOKUP('Master Sheet'!C11,'Code Options'!$A$1:$R$7,3)</f>
        <v>Retro</v>
      </c>
      <c r="E11">
        <f t="shared" ca="1" si="2"/>
        <v>4</v>
      </c>
      <c r="F11" t="str">
        <f ca="1">VLOOKUP('Master Sheet'!E11,'Code Options'!$A$1:$R$7,4)</f>
        <v>LM</v>
      </c>
      <c r="G11">
        <f t="shared" ca="1" si="3"/>
        <v>3</v>
      </c>
      <c r="H11">
        <f ca="1">VLOOKUP('Master Sheet'!E11,'Code Options'!$A$1:$R$7,5)</f>
        <v>0</v>
      </c>
      <c r="I11">
        <f t="shared" ca="1" si="4"/>
        <v>1</v>
      </c>
      <c r="J11" t="str">
        <f ca="1">VLOOKUP('Master Sheet'!G11,'Code Options'!$A$1:$R$7,6)</f>
        <v>Regional</v>
      </c>
      <c r="K11">
        <f t="shared" ca="1" si="5"/>
        <v>4</v>
      </c>
      <c r="L11" t="str">
        <f ca="1">VLOOKUP('Master Sheet'!I11,'Code Options'!$A$1:$R$7,7)</f>
        <v>Habitat</v>
      </c>
      <c r="M11">
        <f t="shared" ca="1" si="6"/>
        <v>3</v>
      </c>
      <c r="N11" t="str">
        <f ca="1">VLOOKUP('Master Sheet'!K11,'Code Options'!$A$1:$R$7,8)</f>
        <v>Creation of AR Mat</v>
      </c>
      <c r="O11">
        <f t="shared" ca="1" si="7"/>
        <v>5</v>
      </c>
      <c r="P11" t="str">
        <f ca="1">VLOOKUP('Master Sheet'!E11,'Code Options'!$A$1:$R$7,9)</f>
        <v>Summ_Article</v>
      </c>
      <c r="Q11" cm="1">
        <f t="array" aca="1" ref="Q11" ca="1">_xlfn.IFS(P11 ="State_Plan", RANDBETWEEN(1,23), P11 ="State_Code", RANDBETWEEN(1,23), P11 = "Fed_Code", 99, P11 = "Summ_Article", 999, P11 = "Guide", 999)</f>
        <v>999</v>
      </c>
      <c r="R11" t="str">
        <f ca="1">VLOOKUP(Q11,'States and Locations'!$A$1:$B$26,2)</f>
        <v>UNK</v>
      </c>
      <c r="S11">
        <f ca="1">VLOOKUP(Q11,'States and Locations'!$A$1:$D$26,3)</f>
        <v>25</v>
      </c>
      <c r="T11">
        <f ca="1">VLOOKUP(Q11,'States and Locations'!$A$1:$D$26,4)</f>
        <v>-90</v>
      </c>
      <c r="U11">
        <f t="shared" ca="1" si="8"/>
        <v>3</v>
      </c>
      <c r="V11" t="str">
        <f ca="1">VLOOKUP('Master Sheet'!E11,'Code Options'!$A$1:$R$7,10)</f>
        <v>Hab_restoration</v>
      </c>
      <c r="W11">
        <f t="shared" ca="1" si="9"/>
        <v>5</v>
      </c>
      <c r="X11" t="str">
        <f ca="1">VLOOKUP('Master Sheet'!E11,'Code Options'!$A$1:$R$7,11)</f>
        <v>Non-Fish_rec</v>
      </c>
      <c r="Y11">
        <f t="shared" ca="1" si="10"/>
        <v>2</v>
      </c>
      <c r="Z11" t="str">
        <f ca="1">VLOOKUP('Master Sheet'!E11,'Code Options'!$A$1:$R$7,12)</f>
        <v>people_interested</v>
      </c>
    </row>
    <row r="12" spans="1:33" x14ac:dyDescent="0.2">
      <c r="A12">
        <f t="shared" ca="1" si="0"/>
        <v>5</v>
      </c>
      <c r="B12" t="str">
        <f ca="1">VLOOKUP('Master Sheet'!A12,'Code Options'!$A$1:$B$7,2)</f>
        <v>Rock</v>
      </c>
      <c r="C12">
        <f t="shared" ca="1" si="1"/>
        <v>1</v>
      </c>
      <c r="D12" t="str">
        <f ca="1">VLOOKUP('Master Sheet'!C12,'Code Options'!$A$1:$R$7,3)</f>
        <v>Retro</v>
      </c>
      <c r="E12">
        <f t="shared" ca="1" si="2"/>
        <v>4</v>
      </c>
      <c r="F12" t="str">
        <f ca="1">VLOOKUP('Master Sheet'!E12,'Code Options'!$A$1:$R$7,4)</f>
        <v>LM</v>
      </c>
      <c r="G12">
        <f t="shared" ca="1" si="3"/>
        <v>2</v>
      </c>
      <c r="H12">
        <f ca="1">VLOOKUP('Master Sheet'!E12,'Code Options'!$A$1:$R$7,5)</f>
        <v>0</v>
      </c>
      <c r="I12">
        <f t="shared" ca="1" si="4"/>
        <v>2</v>
      </c>
      <c r="J12" t="str">
        <f ca="1">VLOOKUP('Master Sheet'!G12,'Code Options'!$A$1:$R$7,6)</f>
        <v>State</v>
      </c>
      <c r="K12">
        <f t="shared" ca="1" si="5"/>
        <v>1</v>
      </c>
      <c r="L12" t="str">
        <f ca="1">VLOOKUP('Master Sheet'!I12,'Code Options'!$A$1:$R$7,7)</f>
        <v>Production</v>
      </c>
      <c r="M12">
        <f t="shared" ca="1" si="6"/>
        <v>1</v>
      </c>
      <c r="N12" t="str">
        <f ca="1">VLOOKUP('Master Sheet'!K12,'Code Options'!$A$1:$R$7,8)</f>
        <v>Fish.Enhancement</v>
      </c>
      <c r="O12">
        <f t="shared" ca="1" si="7"/>
        <v>2</v>
      </c>
      <c r="P12" t="str">
        <f ca="1">VLOOKUP('Master Sheet'!E12,'Code Options'!$A$1:$R$7,9)</f>
        <v>Summ_Article</v>
      </c>
      <c r="Q12" cm="1">
        <f t="array" aca="1" ref="Q12" ca="1">_xlfn.IFS(P12 ="State_Plan", RANDBETWEEN(1,23), P12 ="State_Code", RANDBETWEEN(1,23), P12 = "Fed_Code", 99, P12 = "Summ_Article", 999, P12 = "Guide", 999)</f>
        <v>999</v>
      </c>
      <c r="R12" t="str">
        <f ca="1">VLOOKUP(Q12,'States and Locations'!$A$1:$B$26,2)</f>
        <v>UNK</v>
      </c>
      <c r="S12">
        <f ca="1">VLOOKUP(Q12,'States and Locations'!$A$1:$D$26,3)</f>
        <v>25</v>
      </c>
      <c r="T12">
        <f ca="1">VLOOKUP(Q12,'States and Locations'!$A$1:$D$26,4)</f>
        <v>-90</v>
      </c>
      <c r="U12">
        <f t="shared" ca="1" si="8"/>
        <v>2</v>
      </c>
      <c r="V12" t="str">
        <f ca="1">VLOOKUP('Master Sheet'!E12,'Code Options'!$A$1:$R$7,10)</f>
        <v>Hab_restoration</v>
      </c>
      <c r="W12">
        <f t="shared" ca="1" si="9"/>
        <v>2</v>
      </c>
      <c r="X12" t="str">
        <f ca="1">VLOOKUP('Master Sheet'!E12,'Code Options'!$A$1:$R$7,11)</f>
        <v>Non-Fish_rec</v>
      </c>
      <c r="Y12">
        <f t="shared" ca="1" si="10"/>
        <v>3</v>
      </c>
      <c r="Z12" t="str">
        <f ca="1">VLOOKUP('Master Sheet'!E12,'Code Options'!$A$1:$R$7,12)</f>
        <v>people_interested</v>
      </c>
    </row>
    <row r="13" spans="1:33" x14ac:dyDescent="0.2">
      <c r="A13">
        <f t="shared" ca="1" si="0"/>
        <v>5</v>
      </c>
      <c r="B13" t="str">
        <f ca="1">VLOOKUP('Master Sheet'!A13,'Code Options'!$A$1:$B$7,2)</f>
        <v>Rock</v>
      </c>
      <c r="C13">
        <f t="shared" ca="1" si="1"/>
        <v>3</v>
      </c>
      <c r="D13" t="str">
        <f ca="1">VLOOKUP('Master Sheet'!C13,'Code Options'!$A$1:$R$7,3)</f>
        <v>Unsure</v>
      </c>
      <c r="E13">
        <f t="shared" ca="1" si="2"/>
        <v>3</v>
      </c>
      <c r="F13" t="str">
        <f ca="1">VLOOKUP('Master Sheet'!E13,'Code Options'!$A$1:$R$7,4)</f>
        <v>Jon</v>
      </c>
      <c r="G13">
        <f t="shared" ca="1" si="3"/>
        <v>1</v>
      </c>
      <c r="H13" t="str">
        <f ca="1">VLOOKUP('Master Sheet'!E13,'Code Options'!$A$1:$R$7,5)</f>
        <v>Nick</v>
      </c>
      <c r="I13">
        <f t="shared" ca="1" si="4"/>
        <v>1</v>
      </c>
      <c r="J13" t="str">
        <f ca="1">VLOOKUP('Master Sheet'!G13,'Code Options'!$A$1:$R$7,6)</f>
        <v>County/Local</v>
      </c>
      <c r="K13">
        <f t="shared" ca="1" si="5"/>
        <v>3</v>
      </c>
      <c r="L13" t="str">
        <f ca="1">VLOOKUP('Master Sheet'!I13,'Code Options'!$A$1:$R$7,7)</f>
        <v>Habitat</v>
      </c>
      <c r="M13">
        <f t="shared" ca="1" si="6"/>
        <v>5</v>
      </c>
      <c r="N13" t="str">
        <f ca="1">VLOOKUP('Master Sheet'!K13,'Code Options'!$A$1:$R$7,8)</f>
        <v>Rec.Fish.Mngmt</v>
      </c>
      <c r="O13">
        <f t="shared" ca="1" si="7"/>
        <v>2</v>
      </c>
      <c r="P13" t="str">
        <f ca="1">VLOOKUP('Master Sheet'!E13,'Code Options'!$A$1:$R$7,9)</f>
        <v>State_Plan</v>
      </c>
      <c r="Q13" cm="1">
        <f t="array" aca="1" ref="Q13" ca="1">_xlfn.IFS(P13 ="State_Plan", RANDBETWEEN(1,23), P13 ="State_Code", RANDBETWEEN(1,23), P13 = "Fed_Code", 99, P13 = "Summ_Article", 999, P13 = "Guide", 999)</f>
        <v>21</v>
      </c>
      <c r="R13" t="str">
        <f ca="1">VLOOKUP(Q13,'States and Locations'!$A$1:$B$26,2)</f>
        <v>Washington</v>
      </c>
      <c r="S13">
        <f ca="1">VLOOKUP(Q13,'States and Locations'!$A$1:$D$26,3)</f>
        <v>47.75</v>
      </c>
      <c r="T13">
        <f ca="1">VLOOKUP(Q13,'States and Locations'!$A$1:$D$26,4)</f>
        <v>-120.7333</v>
      </c>
      <c r="U13">
        <f t="shared" ca="1" si="8"/>
        <v>2</v>
      </c>
      <c r="V13" t="str">
        <f ca="1">VLOOKUP('Master Sheet'!E13,'Code Options'!$A$1:$R$7,10)</f>
        <v>Mitig.</v>
      </c>
      <c r="W13">
        <f t="shared" ca="1" si="9"/>
        <v>4</v>
      </c>
      <c r="X13" t="str">
        <f ca="1">VLOOKUP('Master Sheet'!E13,'Code Options'!$A$1:$R$7,11)</f>
        <v>Chart_Fish</v>
      </c>
      <c r="Y13">
        <f t="shared" ca="1" si="10"/>
        <v>5</v>
      </c>
      <c r="Z13" t="str">
        <f ca="1">VLOOKUP('Master Sheet'!E13,'Code Options'!$A$1:$R$7,12)</f>
        <v>Permit_reg_agencies</v>
      </c>
    </row>
    <row r="14" spans="1:33" x14ac:dyDescent="0.2">
      <c r="A14">
        <f t="shared" ca="1" si="0"/>
        <v>5</v>
      </c>
      <c r="B14" t="str">
        <f ca="1">VLOOKUP('Master Sheet'!A14,'Code Options'!$A$1:$B$7,2)</f>
        <v>Rock</v>
      </c>
      <c r="C14">
        <f t="shared" ca="1" si="1"/>
        <v>2</v>
      </c>
      <c r="D14" t="str">
        <f ca="1">VLOOKUP('Master Sheet'!C14,'Code Options'!$A$1:$R$7,3)</f>
        <v>Pro</v>
      </c>
      <c r="E14">
        <f t="shared" ca="1" si="2"/>
        <v>2</v>
      </c>
      <c r="F14" t="str">
        <f ca="1">VLOOKUP('Master Sheet'!E14,'Code Options'!$A$1:$R$7,4)</f>
        <v>Cyndi</v>
      </c>
      <c r="G14">
        <f t="shared" ca="1" si="3"/>
        <v>3</v>
      </c>
      <c r="H14" t="str">
        <f ca="1">VLOOKUP('Master Sheet'!E14,'Code Options'!$A$1:$R$7,5)</f>
        <v>Cyndi</v>
      </c>
      <c r="I14">
        <f t="shared" ca="1" si="4"/>
        <v>2</v>
      </c>
      <c r="J14" t="str">
        <f ca="1">VLOOKUP('Master Sheet'!G14,'Code Options'!$A$1:$R$7,6)</f>
        <v>Regional</v>
      </c>
      <c r="K14">
        <f t="shared" ca="1" si="5"/>
        <v>2</v>
      </c>
      <c r="L14" t="str">
        <f ca="1">VLOOKUP('Master Sheet'!I14,'Code Options'!$A$1:$R$7,7)</f>
        <v>Production</v>
      </c>
      <c r="M14">
        <f t="shared" ca="1" si="6"/>
        <v>4</v>
      </c>
      <c r="N14" t="str">
        <f ca="1">VLOOKUP('Master Sheet'!K14,'Code Options'!$A$1:$R$7,8)</f>
        <v>Comm.Fish.Mngmt</v>
      </c>
      <c r="O14">
        <f t="shared" ca="1" si="7"/>
        <v>2</v>
      </c>
      <c r="P14" t="str">
        <f ca="1">VLOOKUP('Master Sheet'!E14,'Code Options'!$A$1:$R$7,9)</f>
        <v>Fed_Code</v>
      </c>
      <c r="Q14" cm="1">
        <f t="array" aca="1" ref="Q14" ca="1">_xlfn.IFS(P14 ="State_Plan", RANDBETWEEN(1,23), P14 ="State_Code", RANDBETWEEN(1,23), P14 = "Fed_Code", 99, P14 = "Summ_Article", 999, P14 = "Guide", 999)</f>
        <v>99</v>
      </c>
      <c r="R14" t="str">
        <f ca="1">VLOOKUP(Q14,'States and Locations'!$A$1:$B$26,2)</f>
        <v>National</v>
      </c>
      <c r="S14">
        <f ca="1">VLOOKUP(Q14,'States and Locations'!$A$1:$D$26,3)</f>
        <v>39.833300000000001</v>
      </c>
      <c r="T14">
        <f ca="1">VLOOKUP(Q14,'States and Locations'!$A$1:$D$26,4)</f>
        <v>-98.583299999999994</v>
      </c>
      <c r="U14">
        <f t="shared" ca="1" si="8"/>
        <v>4</v>
      </c>
      <c r="V14" t="str">
        <f ca="1">VLOOKUP('Master Sheet'!E14,'Code Options'!$A$1:$R$7,10)</f>
        <v>Disposal</v>
      </c>
      <c r="W14">
        <f t="shared" ca="1" si="9"/>
        <v>5</v>
      </c>
      <c r="X14" t="str">
        <f ca="1">VLOOKUP('Master Sheet'!E14,'Code Options'!$A$1:$R$7,11)</f>
        <v>Comm_Fish</v>
      </c>
      <c r="Y14">
        <f t="shared" ca="1" si="10"/>
        <v>3</v>
      </c>
      <c r="Z14" t="str">
        <f ca="1">VLOOKUP('Master Sheet'!E14,'Code Options'!$A$1:$R$7,12)</f>
        <v>AS_constructors</v>
      </c>
    </row>
    <row r="15" spans="1:33" x14ac:dyDescent="0.2">
      <c r="A15">
        <f t="shared" ca="1" si="0"/>
        <v>6</v>
      </c>
      <c r="B15" t="str">
        <f ca="1">VLOOKUP('Master Sheet'!A15,'Code Options'!$A$1:$B$7,2)</f>
        <v>Tires/Rubber</v>
      </c>
      <c r="C15">
        <f t="shared" ca="1" si="1"/>
        <v>3</v>
      </c>
      <c r="D15" t="str">
        <f ca="1">VLOOKUP('Master Sheet'!C15,'Code Options'!$A$1:$R$7,3)</f>
        <v>Unsure</v>
      </c>
      <c r="E15">
        <f t="shared" ca="1" si="2"/>
        <v>3</v>
      </c>
      <c r="F15" t="str">
        <f ca="1">VLOOKUP('Master Sheet'!E15,'Code Options'!$A$1:$R$7,4)</f>
        <v>Jon</v>
      </c>
      <c r="G15">
        <f t="shared" ca="1" si="3"/>
        <v>1</v>
      </c>
      <c r="H15" t="str">
        <f ca="1">VLOOKUP('Master Sheet'!E15,'Code Options'!$A$1:$R$7,5)</f>
        <v>Nick</v>
      </c>
      <c r="I15">
        <f t="shared" ca="1" si="4"/>
        <v>4</v>
      </c>
      <c r="J15" t="str">
        <f ca="1">VLOOKUP('Master Sheet'!G15,'Code Options'!$A$1:$R$7,6)</f>
        <v>County/Local</v>
      </c>
      <c r="K15">
        <f t="shared" ca="1" si="5"/>
        <v>4</v>
      </c>
      <c r="L15" t="str">
        <f ca="1">VLOOKUP('Master Sheet'!I15,'Code Options'!$A$1:$R$7,7)</f>
        <v>Biodiversity</v>
      </c>
      <c r="M15">
        <f t="shared" ca="1" si="6"/>
        <v>4</v>
      </c>
      <c r="N15" t="str">
        <f ca="1">VLOOKUP('Master Sheet'!K15,'Code Options'!$A$1:$R$7,8)</f>
        <v>Creation of AR Mat</v>
      </c>
      <c r="O15">
        <f t="shared" ca="1" si="7"/>
        <v>1</v>
      </c>
      <c r="P15" t="str">
        <f ca="1">VLOOKUP('Master Sheet'!E15,'Code Options'!$A$1:$R$7,9)</f>
        <v>State_Plan</v>
      </c>
      <c r="Q15" cm="1">
        <f t="array" aca="1" ref="Q15" ca="1">_xlfn.IFS(P15 ="State_Plan", RANDBETWEEN(1,23), P15 ="State_Code", RANDBETWEEN(1,23), P15 = "Fed_Code", 99, P15 = "Summ_Article", 999, P15 = "Guide", 999)</f>
        <v>4</v>
      </c>
      <c r="R15" t="str">
        <f ca="1">VLOOKUP(Q15,'States and Locations'!$A$1:$B$26,2)</f>
        <v>Rhode Island</v>
      </c>
      <c r="S15">
        <f ca="1">VLOOKUP(Q15,'States and Locations'!$A$1:$D$26,3)</f>
        <v>41.666699999999999</v>
      </c>
      <c r="T15">
        <f ca="1">VLOOKUP(Q15,'States and Locations'!$A$1:$D$26,4)</f>
        <v>-71.5</v>
      </c>
      <c r="U15">
        <f t="shared" ca="1" si="8"/>
        <v>4</v>
      </c>
      <c r="V15" t="str">
        <f ca="1">VLOOKUP('Master Sheet'!E15,'Code Options'!$A$1:$R$7,10)</f>
        <v>Mitig.</v>
      </c>
      <c r="W15">
        <f t="shared" ca="1" si="9"/>
        <v>1</v>
      </c>
      <c r="X15" t="str">
        <f ca="1">VLOOKUP('Master Sheet'!E15,'Code Options'!$A$1:$R$7,11)</f>
        <v>Chart_Fish</v>
      </c>
      <c r="Y15">
        <f t="shared" ca="1" si="10"/>
        <v>5</v>
      </c>
      <c r="Z15" t="str">
        <f ca="1">VLOOKUP('Master Sheet'!E15,'Code Options'!$A$1:$R$7,12)</f>
        <v>Permit_reg_agencies</v>
      </c>
    </row>
    <row r="16" spans="1:33" x14ac:dyDescent="0.2">
      <c r="A16">
        <f t="shared" ca="1" si="0"/>
        <v>1</v>
      </c>
      <c r="B16" t="str">
        <f ca="1">VLOOKUP('Master Sheet'!A16,'Code Options'!$A$1:$B$7,2)</f>
        <v>Composite</v>
      </c>
      <c r="C16">
        <f t="shared" ca="1" si="1"/>
        <v>2</v>
      </c>
      <c r="D16" t="str">
        <f ca="1">VLOOKUP('Master Sheet'!C16,'Code Options'!$A$1:$R$7,3)</f>
        <v>Pro</v>
      </c>
      <c r="E16">
        <f t="shared" ca="1" si="2"/>
        <v>4</v>
      </c>
      <c r="F16" t="str">
        <f ca="1">VLOOKUP('Master Sheet'!E16,'Code Options'!$A$1:$R$7,4)</f>
        <v>LM</v>
      </c>
      <c r="G16">
        <f t="shared" ca="1" si="3"/>
        <v>1</v>
      </c>
      <c r="H16">
        <f ca="1">VLOOKUP('Master Sheet'!E16,'Code Options'!$A$1:$R$7,5)</f>
        <v>0</v>
      </c>
      <c r="I16">
        <f t="shared" ca="1" si="4"/>
        <v>3</v>
      </c>
      <c r="J16" t="str">
        <f ca="1">VLOOKUP('Master Sheet'!G16,'Code Options'!$A$1:$R$7,6)</f>
        <v>County/Local</v>
      </c>
      <c r="K16">
        <f t="shared" ca="1" si="5"/>
        <v>2</v>
      </c>
      <c r="L16" t="str">
        <f ca="1">VLOOKUP('Master Sheet'!I16,'Code Options'!$A$1:$R$7,7)</f>
        <v>Aggregation</v>
      </c>
      <c r="M16">
        <f t="shared" ca="1" si="6"/>
        <v>1</v>
      </c>
      <c r="N16" t="str">
        <f ca="1">VLOOKUP('Master Sheet'!K16,'Code Options'!$A$1:$R$7,8)</f>
        <v>Comm.Fish.Mngmt</v>
      </c>
      <c r="O16">
        <f t="shared" ca="1" si="7"/>
        <v>3</v>
      </c>
      <c r="P16" t="str">
        <f ca="1">VLOOKUP('Master Sheet'!E16,'Code Options'!$A$1:$R$7,9)</f>
        <v>Summ_Article</v>
      </c>
      <c r="Q16" cm="1">
        <f t="array" aca="1" ref="Q16" ca="1">_xlfn.IFS(P16 ="State_Plan", RANDBETWEEN(1,23), P16 ="State_Code", RANDBETWEEN(1,23), P16 = "Fed_Code", 99, P16 = "Summ_Article", 999, P16 = "Guide", 999)</f>
        <v>999</v>
      </c>
      <c r="R16" t="str">
        <f ca="1">VLOOKUP(Q16,'States and Locations'!$A$1:$B$26,2)</f>
        <v>UNK</v>
      </c>
      <c r="S16">
        <f ca="1">VLOOKUP(Q16,'States and Locations'!$A$1:$D$26,3)</f>
        <v>25</v>
      </c>
      <c r="T16">
        <f ca="1">VLOOKUP(Q16,'States and Locations'!$A$1:$D$26,4)</f>
        <v>-90</v>
      </c>
      <c r="U16">
        <f t="shared" ca="1" si="8"/>
        <v>4</v>
      </c>
      <c r="V16" t="str">
        <f ca="1">VLOOKUP('Master Sheet'!E16,'Code Options'!$A$1:$R$7,10)</f>
        <v>Hab_restoration</v>
      </c>
      <c r="W16">
        <f t="shared" ca="1" si="9"/>
        <v>3</v>
      </c>
      <c r="X16" t="str">
        <f ca="1">VLOOKUP('Master Sheet'!E16,'Code Options'!$A$1:$R$7,11)</f>
        <v>Non-Fish_rec</v>
      </c>
      <c r="Y16">
        <f t="shared" ca="1" si="10"/>
        <v>2</v>
      </c>
      <c r="Z16" t="str">
        <f ca="1">VLOOKUP('Master Sheet'!E16,'Code Options'!$A$1:$R$7,12)</f>
        <v>people_interested</v>
      </c>
    </row>
    <row r="17" spans="1:26" x14ac:dyDescent="0.2">
      <c r="A17">
        <f t="shared" ca="1" si="0"/>
        <v>5</v>
      </c>
      <c r="B17" t="str">
        <f ca="1">VLOOKUP('Master Sheet'!A17,'Code Options'!$A$1:$B$7,2)</f>
        <v>Rock</v>
      </c>
      <c r="C17">
        <f t="shared" ca="1" si="1"/>
        <v>2</v>
      </c>
      <c r="D17" t="str">
        <f ca="1">VLOOKUP('Master Sheet'!C17,'Code Options'!$A$1:$R$7,3)</f>
        <v>Pro</v>
      </c>
      <c r="E17">
        <f t="shared" ca="1" si="2"/>
        <v>3</v>
      </c>
      <c r="F17" t="str">
        <f ca="1">VLOOKUP('Master Sheet'!E17,'Code Options'!$A$1:$R$7,4)</f>
        <v>Jon</v>
      </c>
      <c r="G17">
        <f t="shared" ca="1" si="3"/>
        <v>1</v>
      </c>
      <c r="H17" t="str">
        <f ca="1">VLOOKUP('Master Sheet'!E17,'Code Options'!$A$1:$R$7,5)</f>
        <v>Nick</v>
      </c>
      <c r="I17">
        <f t="shared" ca="1" si="4"/>
        <v>1</v>
      </c>
      <c r="J17" t="str">
        <f ca="1">VLOOKUP('Master Sheet'!G17,'Code Options'!$A$1:$R$7,6)</f>
        <v>County/Local</v>
      </c>
      <c r="K17">
        <f t="shared" ca="1" si="5"/>
        <v>3</v>
      </c>
      <c r="L17" t="str">
        <f ca="1">VLOOKUP('Master Sheet'!I17,'Code Options'!$A$1:$R$7,7)</f>
        <v>Habitat</v>
      </c>
      <c r="M17">
        <f t="shared" ca="1" si="6"/>
        <v>3</v>
      </c>
      <c r="N17" t="str">
        <f ca="1">VLOOKUP('Master Sheet'!K17,'Code Options'!$A$1:$R$7,8)</f>
        <v>Rec.Fish.Mngmt</v>
      </c>
      <c r="O17">
        <f t="shared" ca="1" si="7"/>
        <v>1</v>
      </c>
      <c r="P17" t="str">
        <f ca="1">VLOOKUP('Master Sheet'!E17,'Code Options'!$A$1:$R$7,9)</f>
        <v>State_Plan</v>
      </c>
      <c r="Q17" cm="1">
        <f t="array" aca="1" ref="Q17" ca="1">_xlfn.IFS(P17 ="State_Plan", RANDBETWEEN(1,23), P17 ="State_Code", RANDBETWEEN(1,23), P17 = "Fed_Code", 99, P17 = "Summ_Article", 999, P17 = "Guide", 999)</f>
        <v>4</v>
      </c>
      <c r="R17" t="str">
        <f ca="1">VLOOKUP(Q17,'States and Locations'!$A$1:$B$26,2)</f>
        <v>Rhode Island</v>
      </c>
      <c r="S17">
        <f ca="1">VLOOKUP(Q17,'States and Locations'!$A$1:$D$26,3)</f>
        <v>41.666699999999999</v>
      </c>
      <c r="T17">
        <f ca="1">VLOOKUP(Q17,'States and Locations'!$A$1:$D$26,4)</f>
        <v>-71.5</v>
      </c>
      <c r="U17">
        <f t="shared" ca="1" si="8"/>
        <v>5</v>
      </c>
      <c r="V17" t="str">
        <f ca="1">VLOOKUP('Master Sheet'!E17,'Code Options'!$A$1:$R$7,10)</f>
        <v>Mitig.</v>
      </c>
      <c r="W17">
        <f t="shared" ca="1" si="9"/>
        <v>5</v>
      </c>
      <c r="X17" t="str">
        <f ca="1">VLOOKUP('Master Sheet'!E17,'Code Options'!$A$1:$R$7,11)</f>
        <v>Chart_Fish</v>
      </c>
      <c r="Y17">
        <f t="shared" ca="1" si="10"/>
        <v>3</v>
      </c>
      <c r="Z17" t="str">
        <f ca="1">VLOOKUP('Master Sheet'!E17,'Code Options'!$A$1:$R$7,12)</f>
        <v>Permit_reg_agencies</v>
      </c>
    </row>
    <row r="18" spans="1:26" x14ac:dyDescent="0.2">
      <c r="A18">
        <f t="shared" ca="1" si="0"/>
        <v>1</v>
      </c>
      <c r="B18" t="str">
        <f ca="1">VLOOKUP('Master Sheet'!A18,'Code Options'!$A$1:$B$7,2)</f>
        <v>Composite</v>
      </c>
      <c r="C18">
        <f t="shared" ca="1" si="1"/>
        <v>3</v>
      </c>
      <c r="D18" t="str">
        <f ca="1">VLOOKUP('Master Sheet'!C18,'Code Options'!$A$1:$R$7,3)</f>
        <v>Unsure</v>
      </c>
      <c r="E18">
        <f t="shared" ca="1" si="2"/>
        <v>1</v>
      </c>
      <c r="F18" t="str">
        <f ca="1">VLOOKUP('Master Sheet'!E18,'Code Options'!$A$1:$R$7,4)</f>
        <v>Will</v>
      </c>
      <c r="G18">
        <f t="shared" ca="1" si="3"/>
        <v>1</v>
      </c>
      <c r="H18" t="str">
        <f ca="1">VLOOKUP('Master Sheet'!E18,'Code Options'!$A$1:$R$7,5)</f>
        <v>Will</v>
      </c>
      <c r="I18">
        <f t="shared" ca="1" si="4"/>
        <v>2</v>
      </c>
      <c r="J18" t="str">
        <f ca="1">VLOOKUP('Master Sheet'!G18,'Code Options'!$A$1:$R$7,6)</f>
        <v>County/Local</v>
      </c>
      <c r="K18">
        <f t="shared" ca="1" si="5"/>
        <v>1</v>
      </c>
      <c r="L18" t="str">
        <f ca="1">VLOOKUP('Master Sheet'!I18,'Code Options'!$A$1:$R$7,7)</f>
        <v>Production</v>
      </c>
      <c r="M18">
        <f t="shared" ca="1" si="6"/>
        <v>4</v>
      </c>
      <c r="N18" t="str">
        <f ca="1">VLOOKUP('Master Sheet'!K18,'Code Options'!$A$1:$R$7,8)</f>
        <v>Fish.Enhancement</v>
      </c>
      <c r="O18">
        <f t="shared" ca="1" si="7"/>
        <v>2</v>
      </c>
      <c r="P18" t="str">
        <f ca="1">VLOOKUP('Master Sheet'!E18,'Code Options'!$A$1:$R$7,9)</f>
        <v>State_Code</v>
      </c>
      <c r="Q18" cm="1">
        <f t="array" aca="1" ref="Q18" ca="1">_xlfn.IFS(P18 ="State_Plan", RANDBETWEEN(1,23), P18 ="State_Code", RANDBETWEEN(1,23), P18 = "Fed_Code", 99, P18 = "Summ_Article", 999, P18 = "Guide", 999)</f>
        <v>15</v>
      </c>
      <c r="R18" t="str">
        <f ca="1">VLOOKUP(Q18,'States and Locations'!$A$1:$B$26,2)</f>
        <v>Texas</v>
      </c>
      <c r="S18">
        <f ca="1">VLOOKUP(Q18,'States and Locations'!$A$1:$D$26,3)</f>
        <v>31.466699999999999</v>
      </c>
      <c r="T18">
        <f ca="1">VLOOKUP(Q18,'States and Locations'!$A$1:$D$26,4)</f>
        <v>-99.333299999999994</v>
      </c>
      <c r="U18">
        <f t="shared" ca="1" si="8"/>
        <v>5</v>
      </c>
      <c r="V18" t="str">
        <f ca="1">VLOOKUP('Master Sheet'!E18,'Code Options'!$A$1:$R$7,10)</f>
        <v>Hab_enhancement</v>
      </c>
      <c r="W18">
        <f t="shared" ca="1" si="9"/>
        <v>3</v>
      </c>
      <c r="X18" t="str">
        <f ca="1">VLOOKUP('Master Sheet'!E18,'Code Options'!$A$1:$R$7,11)</f>
        <v>Rec_Fish</v>
      </c>
      <c r="Y18">
        <f t="shared" ca="1" si="10"/>
        <v>5</v>
      </c>
      <c r="Z18" t="str">
        <f ca="1">VLOOKUP('Master Sheet'!E18,'Code Options'!$A$1:$R$7,12)</f>
        <v>AR_proj_plan_mngrs</v>
      </c>
    </row>
    <row r="19" spans="1:26" x14ac:dyDescent="0.2">
      <c r="A19">
        <f t="shared" ca="1" si="0"/>
        <v>6</v>
      </c>
      <c r="B19" t="str">
        <f ca="1">VLOOKUP('Master Sheet'!A19,'Code Options'!$A$1:$B$7,2)</f>
        <v>Tires/Rubber</v>
      </c>
      <c r="C19">
        <f t="shared" ca="1" si="1"/>
        <v>3</v>
      </c>
      <c r="D19" t="str">
        <f ca="1">VLOOKUP('Master Sheet'!C19,'Code Options'!$A$1:$R$7,3)</f>
        <v>Unsure</v>
      </c>
      <c r="E19">
        <f t="shared" ca="1" si="2"/>
        <v>2</v>
      </c>
      <c r="F19" t="str">
        <f ca="1">VLOOKUP('Master Sheet'!E19,'Code Options'!$A$1:$R$7,4)</f>
        <v>Cyndi</v>
      </c>
      <c r="G19">
        <f t="shared" ca="1" si="3"/>
        <v>3</v>
      </c>
      <c r="H19" t="str">
        <f ca="1">VLOOKUP('Master Sheet'!E19,'Code Options'!$A$1:$R$7,5)</f>
        <v>Cyndi</v>
      </c>
      <c r="I19">
        <f t="shared" ca="1" si="4"/>
        <v>1</v>
      </c>
      <c r="J19" t="str">
        <f ca="1">VLOOKUP('Master Sheet'!G19,'Code Options'!$A$1:$R$7,6)</f>
        <v>Regional</v>
      </c>
      <c r="K19">
        <f t="shared" ca="1" si="5"/>
        <v>3</v>
      </c>
      <c r="L19" t="str">
        <f ca="1">VLOOKUP('Master Sheet'!I19,'Code Options'!$A$1:$R$7,7)</f>
        <v>Habitat</v>
      </c>
      <c r="M19">
        <f t="shared" ca="1" si="6"/>
        <v>3</v>
      </c>
      <c r="N19" t="str">
        <f ca="1">VLOOKUP('Master Sheet'!K19,'Code Options'!$A$1:$R$7,8)</f>
        <v>Rec.Fish.Mngmt</v>
      </c>
      <c r="O19">
        <f t="shared" ca="1" si="7"/>
        <v>3</v>
      </c>
      <c r="P19" t="str">
        <f ca="1">VLOOKUP('Master Sheet'!E19,'Code Options'!$A$1:$R$7,9)</f>
        <v>Fed_Code</v>
      </c>
      <c r="Q19" cm="1">
        <f t="array" aca="1" ref="Q19" ca="1">_xlfn.IFS(P19 ="State_Plan", RANDBETWEEN(1,23), P19 ="State_Code", RANDBETWEEN(1,23), P19 = "Fed_Code", 99, P19 = "Summ_Article", 999, P19 = "Guide", 999)</f>
        <v>99</v>
      </c>
      <c r="R19" t="str">
        <f ca="1">VLOOKUP(Q19,'States and Locations'!$A$1:$B$26,2)</f>
        <v>National</v>
      </c>
      <c r="S19">
        <f ca="1">VLOOKUP(Q19,'States and Locations'!$A$1:$D$26,3)</f>
        <v>39.833300000000001</v>
      </c>
      <c r="T19">
        <f ca="1">VLOOKUP(Q19,'States and Locations'!$A$1:$D$26,4)</f>
        <v>-98.583299999999994</v>
      </c>
      <c r="U19">
        <f t="shared" ca="1" si="8"/>
        <v>1</v>
      </c>
      <c r="V19" t="str">
        <f ca="1">VLOOKUP('Master Sheet'!E19,'Code Options'!$A$1:$R$7,10)</f>
        <v>Disposal</v>
      </c>
      <c r="W19">
        <f t="shared" ca="1" si="9"/>
        <v>4</v>
      </c>
      <c r="X19" t="str">
        <f ca="1">VLOOKUP('Master Sheet'!E19,'Code Options'!$A$1:$R$7,11)</f>
        <v>Comm_Fish</v>
      </c>
      <c r="Y19">
        <f t="shared" ca="1" si="10"/>
        <v>1</v>
      </c>
      <c r="Z19" t="str">
        <f ca="1">VLOOKUP('Master Sheet'!E19,'Code Options'!$A$1:$R$7,12)</f>
        <v>AS_constructors</v>
      </c>
    </row>
    <row r="20" spans="1:26" x14ac:dyDescent="0.2">
      <c r="A20">
        <f t="shared" ca="1" si="0"/>
        <v>6</v>
      </c>
      <c r="B20" t="str">
        <f ca="1">VLOOKUP('Master Sheet'!A20,'Code Options'!$A$1:$B$7,2)</f>
        <v>Tires/Rubber</v>
      </c>
      <c r="C20">
        <f t="shared" ca="1" si="1"/>
        <v>2</v>
      </c>
      <c r="D20" t="str">
        <f ca="1">VLOOKUP('Master Sheet'!C20,'Code Options'!$A$1:$R$7,3)</f>
        <v>Pro</v>
      </c>
      <c r="E20">
        <f t="shared" ca="1" si="2"/>
        <v>5</v>
      </c>
      <c r="F20" t="str">
        <f ca="1">VLOOKUP('Master Sheet'!E20,'Code Options'!$A$1:$R$7,4)</f>
        <v>Nick</v>
      </c>
      <c r="G20">
        <f t="shared" ca="1" si="3"/>
        <v>2</v>
      </c>
      <c r="H20">
        <f ca="1">VLOOKUP('Master Sheet'!E20,'Code Options'!$A$1:$R$7,5)</f>
        <v>0</v>
      </c>
      <c r="I20">
        <f t="shared" ca="1" si="4"/>
        <v>1</v>
      </c>
      <c r="J20" t="str">
        <f ca="1">VLOOKUP('Master Sheet'!G20,'Code Options'!$A$1:$R$7,6)</f>
        <v>State</v>
      </c>
      <c r="K20">
        <f t="shared" ca="1" si="5"/>
        <v>3</v>
      </c>
      <c r="L20" t="str">
        <f ca="1">VLOOKUP('Master Sheet'!I20,'Code Options'!$A$1:$R$7,7)</f>
        <v>Habitat</v>
      </c>
      <c r="M20">
        <f t="shared" ca="1" si="6"/>
        <v>2</v>
      </c>
      <c r="N20" t="str">
        <f ca="1">VLOOKUP('Master Sheet'!K20,'Code Options'!$A$1:$R$7,8)</f>
        <v>Rec.Fish.Mngmt</v>
      </c>
      <c r="O20">
        <f t="shared" ca="1" si="7"/>
        <v>4</v>
      </c>
      <c r="P20" t="str">
        <f ca="1">VLOOKUP('Master Sheet'!E20,'Code Options'!$A$1:$R$7,9)</f>
        <v>Guide</v>
      </c>
      <c r="Q20" cm="1">
        <f t="array" aca="1" ref="Q20" ca="1">_xlfn.IFS(P20 ="State_Plan", RANDBETWEEN(1,23), P20 ="State_Code", RANDBETWEEN(1,23), P20 = "Fed_Code", 99, P20 = "Summ_Article", 999, P20 = "Guide", 999)</f>
        <v>999</v>
      </c>
      <c r="R20" t="str">
        <f ca="1">VLOOKUP(Q20,'States and Locations'!$A$1:$B$26,2)</f>
        <v>UNK</v>
      </c>
      <c r="S20">
        <f ca="1">VLOOKUP(Q20,'States and Locations'!$A$1:$D$26,3)</f>
        <v>25</v>
      </c>
      <c r="T20">
        <f ca="1">VLOOKUP(Q20,'States and Locations'!$A$1:$D$26,4)</f>
        <v>-90</v>
      </c>
      <c r="U20">
        <f t="shared" ca="1" si="8"/>
        <v>1</v>
      </c>
      <c r="V20" t="str">
        <f ca="1">VLOOKUP('Master Sheet'!E20,'Code Options'!$A$1:$R$7,10)</f>
        <v>Wave_attenuation</v>
      </c>
      <c r="W20">
        <f t="shared" ca="1" si="9"/>
        <v>4</v>
      </c>
      <c r="X20" t="str">
        <f ca="1">VLOOKUP('Master Sheet'!E20,'Code Options'!$A$1:$R$7,11)</f>
        <v>Scuba</v>
      </c>
      <c r="Y20">
        <f t="shared" ca="1" si="10"/>
        <v>4</v>
      </c>
      <c r="Z20" t="str">
        <f ca="1">VLOOKUP('Master Sheet'!E20,'Code Options'!$A$1:$R$7,12)</f>
        <v>anglers</v>
      </c>
    </row>
    <row r="21" spans="1:26" x14ac:dyDescent="0.2">
      <c r="A21">
        <f t="shared" ca="1" si="0"/>
        <v>5</v>
      </c>
      <c r="B21" t="str">
        <f ca="1">VLOOKUP('Master Sheet'!A21,'Code Options'!$A$1:$B$7,2)</f>
        <v>Rock</v>
      </c>
      <c r="C21">
        <f t="shared" ca="1" si="1"/>
        <v>3</v>
      </c>
      <c r="D21" t="str">
        <f ca="1">VLOOKUP('Master Sheet'!C21,'Code Options'!$A$1:$R$7,3)</f>
        <v>Unsure</v>
      </c>
      <c r="E21">
        <f t="shared" ca="1" si="2"/>
        <v>2</v>
      </c>
      <c r="F21" t="str">
        <f ca="1">VLOOKUP('Master Sheet'!E21,'Code Options'!$A$1:$R$7,4)</f>
        <v>Cyndi</v>
      </c>
      <c r="G21">
        <f t="shared" ca="1" si="3"/>
        <v>1</v>
      </c>
      <c r="H21" t="str">
        <f ca="1">VLOOKUP('Master Sheet'!E21,'Code Options'!$A$1:$R$7,5)</f>
        <v>Cyndi</v>
      </c>
      <c r="I21">
        <f t="shared" ca="1" si="4"/>
        <v>4</v>
      </c>
      <c r="J21" t="str">
        <f ca="1">VLOOKUP('Master Sheet'!G21,'Code Options'!$A$1:$R$7,6)</f>
        <v>County/Local</v>
      </c>
      <c r="K21">
        <f t="shared" ca="1" si="5"/>
        <v>2</v>
      </c>
      <c r="L21" t="str">
        <f ca="1">VLOOKUP('Master Sheet'!I21,'Code Options'!$A$1:$R$7,7)</f>
        <v>Biodiversity</v>
      </c>
      <c r="M21">
        <f t="shared" ca="1" si="6"/>
        <v>2</v>
      </c>
      <c r="N21" t="str">
        <f ca="1">VLOOKUP('Master Sheet'!K21,'Code Options'!$A$1:$R$7,8)</f>
        <v>Comm.Fish.Mngmt</v>
      </c>
      <c r="O21">
        <f t="shared" ca="1" si="7"/>
        <v>5</v>
      </c>
      <c r="P21" t="str">
        <f ca="1">VLOOKUP('Master Sheet'!E21,'Code Options'!$A$1:$R$7,9)</f>
        <v>Fed_Code</v>
      </c>
      <c r="Q21" cm="1">
        <f t="array" aca="1" ref="Q21" ca="1">_xlfn.IFS(P21 ="State_Plan", RANDBETWEEN(1,23), P21 ="State_Code", RANDBETWEEN(1,23), P21 = "Fed_Code", 99, P21 = "Summ_Article", 999, P21 = "Guide", 999)</f>
        <v>99</v>
      </c>
      <c r="R21" t="str">
        <f ca="1">VLOOKUP(Q21,'States and Locations'!$A$1:$B$26,2)</f>
        <v>National</v>
      </c>
      <c r="S21">
        <f ca="1">VLOOKUP(Q21,'States and Locations'!$A$1:$D$26,3)</f>
        <v>39.833300000000001</v>
      </c>
      <c r="T21">
        <f ca="1">VLOOKUP(Q21,'States and Locations'!$A$1:$D$26,4)</f>
        <v>-98.583299999999994</v>
      </c>
      <c r="U21">
        <f t="shared" ca="1" si="8"/>
        <v>5</v>
      </c>
      <c r="V21" t="str">
        <f ca="1">VLOOKUP('Master Sheet'!E21,'Code Options'!$A$1:$R$7,10)</f>
        <v>Disposal</v>
      </c>
      <c r="W21">
        <f t="shared" ca="1" si="9"/>
        <v>3</v>
      </c>
      <c r="X21" t="str">
        <f ca="1">VLOOKUP('Master Sheet'!E21,'Code Options'!$A$1:$R$7,11)</f>
        <v>Comm_Fish</v>
      </c>
      <c r="Y21">
        <f t="shared" ca="1" si="10"/>
        <v>2</v>
      </c>
      <c r="Z21" t="str">
        <f ca="1">VLOOKUP('Master Sheet'!E21,'Code Options'!$A$1:$R$7,12)</f>
        <v>AS_constructors</v>
      </c>
    </row>
    <row r="22" spans="1:26" x14ac:dyDescent="0.2">
      <c r="A22">
        <f t="shared" ca="1" si="0"/>
        <v>4</v>
      </c>
      <c r="B22" t="str">
        <f ca="1">VLOOKUP('Master Sheet'!A22,'Code Options'!$A$1:$B$7,2)</f>
        <v>Other</v>
      </c>
      <c r="C22">
        <f t="shared" ca="1" si="1"/>
        <v>3</v>
      </c>
      <c r="D22" t="str">
        <f ca="1">VLOOKUP('Master Sheet'!C22,'Code Options'!$A$1:$R$7,3)</f>
        <v>Unsure</v>
      </c>
      <c r="E22">
        <f t="shared" ca="1" si="2"/>
        <v>5</v>
      </c>
      <c r="F22" t="str">
        <f ca="1">VLOOKUP('Master Sheet'!E22,'Code Options'!$A$1:$R$7,4)</f>
        <v>Nick</v>
      </c>
      <c r="G22">
        <f t="shared" ca="1" si="3"/>
        <v>2</v>
      </c>
      <c r="H22">
        <f ca="1">VLOOKUP('Master Sheet'!E22,'Code Options'!$A$1:$R$7,5)</f>
        <v>0</v>
      </c>
      <c r="I22">
        <f t="shared" ca="1" si="4"/>
        <v>2</v>
      </c>
      <c r="J22" t="str">
        <f ca="1">VLOOKUP('Master Sheet'!G22,'Code Options'!$A$1:$R$7,6)</f>
        <v>State</v>
      </c>
      <c r="K22">
        <f t="shared" ca="1" si="5"/>
        <v>2</v>
      </c>
      <c r="L22" t="str">
        <f ca="1">VLOOKUP('Master Sheet'!I22,'Code Options'!$A$1:$R$7,7)</f>
        <v>Production</v>
      </c>
      <c r="M22">
        <f t="shared" ca="1" si="6"/>
        <v>4</v>
      </c>
      <c r="N22" t="str">
        <f ca="1">VLOOKUP('Master Sheet'!K22,'Code Options'!$A$1:$R$7,8)</f>
        <v>Comm.Fish.Mngmt</v>
      </c>
      <c r="O22">
        <f t="shared" ca="1" si="7"/>
        <v>4</v>
      </c>
      <c r="P22" t="str">
        <f ca="1">VLOOKUP('Master Sheet'!E22,'Code Options'!$A$1:$R$7,9)</f>
        <v>Guide</v>
      </c>
      <c r="Q22" cm="1">
        <f t="array" aca="1" ref="Q22" ca="1">_xlfn.IFS(P22 ="State_Plan", RANDBETWEEN(1,23), P22 ="State_Code", RANDBETWEEN(1,23), P22 = "Fed_Code", 99, P22 = "Summ_Article", 999, P22 = "Guide", 999)</f>
        <v>999</v>
      </c>
      <c r="R22" t="str">
        <f ca="1">VLOOKUP(Q22,'States and Locations'!$A$1:$B$26,2)</f>
        <v>UNK</v>
      </c>
      <c r="S22">
        <f ca="1">VLOOKUP(Q22,'States and Locations'!$A$1:$D$26,3)</f>
        <v>25</v>
      </c>
      <c r="T22">
        <f ca="1">VLOOKUP(Q22,'States and Locations'!$A$1:$D$26,4)</f>
        <v>-90</v>
      </c>
      <c r="U22">
        <f t="shared" ca="1" si="8"/>
        <v>3</v>
      </c>
      <c r="V22" t="str">
        <f ca="1">VLOOKUP('Master Sheet'!E22,'Code Options'!$A$1:$R$7,10)</f>
        <v>Wave_attenuation</v>
      </c>
      <c r="W22">
        <f t="shared" ca="1" si="9"/>
        <v>5</v>
      </c>
      <c r="X22" t="str">
        <f ca="1">VLOOKUP('Master Sheet'!E22,'Code Options'!$A$1:$R$7,11)</f>
        <v>Scuba</v>
      </c>
      <c r="Y22">
        <f t="shared" ca="1" si="10"/>
        <v>4</v>
      </c>
      <c r="Z22" t="str">
        <f ca="1">VLOOKUP('Master Sheet'!E22,'Code Options'!$A$1:$R$7,12)</f>
        <v>anglers</v>
      </c>
    </row>
    <row r="23" spans="1:26" x14ac:dyDescent="0.2">
      <c r="A23">
        <f t="shared" ca="1" si="0"/>
        <v>1</v>
      </c>
      <c r="B23" t="str">
        <f ca="1">VLOOKUP('Master Sheet'!A23,'Code Options'!$A$1:$B$7,2)</f>
        <v>Composite</v>
      </c>
      <c r="C23">
        <f t="shared" ca="1" si="1"/>
        <v>1</v>
      </c>
      <c r="D23" t="str">
        <f ca="1">VLOOKUP('Master Sheet'!C23,'Code Options'!$A$1:$R$7,3)</f>
        <v>Retro</v>
      </c>
      <c r="E23">
        <f t="shared" ca="1" si="2"/>
        <v>2</v>
      </c>
      <c r="F23" t="str">
        <f ca="1">VLOOKUP('Master Sheet'!E23,'Code Options'!$A$1:$R$7,4)</f>
        <v>Cyndi</v>
      </c>
      <c r="G23">
        <f t="shared" ca="1" si="3"/>
        <v>2</v>
      </c>
      <c r="H23" t="str">
        <f ca="1">VLOOKUP('Master Sheet'!E23,'Code Options'!$A$1:$R$7,5)</f>
        <v>Cyndi</v>
      </c>
      <c r="I23">
        <f t="shared" ca="1" si="4"/>
        <v>2</v>
      </c>
      <c r="J23" t="str">
        <f ca="1">VLOOKUP('Master Sheet'!G23,'Code Options'!$A$1:$R$7,6)</f>
        <v>State</v>
      </c>
      <c r="K23">
        <f t="shared" ca="1" si="5"/>
        <v>1</v>
      </c>
      <c r="L23" t="str">
        <f ca="1">VLOOKUP('Master Sheet'!I23,'Code Options'!$A$1:$R$7,7)</f>
        <v>Production</v>
      </c>
      <c r="M23">
        <f t="shared" ca="1" si="6"/>
        <v>1</v>
      </c>
      <c r="N23" t="str">
        <f ca="1">VLOOKUP('Master Sheet'!K23,'Code Options'!$A$1:$R$7,8)</f>
        <v>Fish.Enhancement</v>
      </c>
      <c r="O23">
        <f t="shared" ca="1" si="7"/>
        <v>5</v>
      </c>
      <c r="P23" t="str">
        <f ca="1">VLOOKUP('Master Sheet'!E23,'Code Options'!$A$1:$R$7,9)</f>
        <v>Fed_Code</v>
      </c>
      <c r="Q23" cm="1">
        <f t="array" aca="1" ref="Q23" ca="1">_xlfn.IFS(P23 ="State_Plan", RANDBETWEEN(1,23), P23 ="State_Code", RANDBETWEEN(1,23), P23 = "Fed_Code", 99, P23 = "Summ_Article", 999, P23 = "Guide", 999)</f>
        <v>99</v>
      </c>
      <c r="R23" t="str">
        <f ca="1">VLOOKUP(Q23,'States and Locations'!$A$1:$B$26,2)</f>
        <v>National</v>
      </c>
      <c r="S23">
        <f ca="1">VLOOKUP(Q23,'States and Locations'!$A$1:$D$26,3)</f>
        <v>39.833300000000001</v>
      </c>
      <c r="T23">
        <f ca="1">VLOOKUP(Q23,'States and Locations'!$A$1:$D$26,4)</f>
        <v>-98.583299999999994</v>
      </c>
      <c r="U23">
        <f t="shared" ca="1" si="8"/>
        <v>3</v>
      </c>
      <c r="V23" t="str">
        <f ca="1">VLOOKUP('Master Sheet'!E23,'Code Options'!$A$1:$R$7,10)</f>
        <v>Disposal</v>
      </c>
      <c r="W23">
        <f t="shared" ca="1" si="9"/>
        <v>2</v>
      </c>
      <c r="X23" t="str">
        <f ca="1">VLOOKUP('Master Sheet'!E23,'Code Options'!$A$1:$R$7,11)</f>
        <v>Comm_Fish</v>
      </c>
      <c r="Y23">
        <f t="shared" ca="1" si="10"/>
        <v>1</v>
      </c>
      <c r="Z23" t="str">
        <f ca="1">VLOOKUP('Master Sheet'!E23,'Code Options'!$A$1:$R$7,12)</f>
        <v>AS_constructors</v>
      </c>
    </row>
    <row r="24" spans="1:26" x14ac:dyDescent="0.2">
      <c r="A24">
        <f t="shared" ca="1" si="0"/>
        <v>6</v>
      </c>
      <c r="B24" t="str">
        <f ca="1">VLOOKUP('Master Sheet'!A24,'Code Options'!$A$1:$B$7,2)</f>
        <v>Tires/Rubber</v>
      </c>
      <c r="C24">
        <f t="shared" ca="1" si="1"/>
        <v>2</v>
      </c>
      <c r="D24" t="str">
        <f ca="1">VLOOKUP('Master Sheet'!C24,'Code Options'!$A$1:$R$7,3)</f>
        <v>Pro</v>
      </c>
      <c r="E24">
        <f t="shared" ca="1" si="2"/>
        <v>5</v>
      </c>
      <c r="F24" t="str">
        <f ca="1">VLOOKUP('Master Sheet'!E24,'Code Options'!$A$1:$R$7,4)</f>
        <v>Nick</v>
      </c>
      <c r="G24">
        <f t="shared" ca="1" si="3"/>
        <v>3</v>
      </c>
      <c r="H24">
        <f ca="1">VLOOKUP('Master Sheet'!E24,'Code Options'!$A$1:$R$7,5)</f>
        <v>0</v>
      </c>
      <c r="I24">
        <f t="shared" ca="1" si="4"/>
        <v>4</v>
      </c>
      <c r="J24" t="str">
        <f ca="1">VLOOKUP('Master Sheet'!G24,'Code Options'!$A$1:$R$7,6)</f>
        <v>Regional</v>
      </c>
      <c r="K24">
        <f t="shared" ca="1" si="5"/>
        <v>1</v>
      </c>
      <c r="L24" t="str">
        <f ca="1">VLOOKUP('Master Sheet'!I24,'Code Options'!$A$1:$R$7,7)</f>
        <v>Biodiversity</v>
      </c>
      <c r="M24">
        <f t="shared" ca="1" si="6"/>
        <v>1</v>
      </c>
      <c r="N24" t="str">
        <f ca="1">VLOOKUP('Master Sheet'!K24,'Code Options'!$A$1:$R$7,8)</f>
        <v>Fish.Enhancement</v>
      </c>
      <c r="O24">
        <f t="shared" ca="1" si="7"/>
        <v>5</v>
      </c>
      <c r="P24" t="str">
        <f ca="1">VLOOKUP('Master Sheet'!E24,'Code Options'!$A$1:$R$7,9)</f>
        <v>Guide</v>
      </c>
      <c r="Q24" cm="1">
        <f t="array" aca="1" ref="Q24" ca="1">_xlfn.IFS(P24 ="State_Plan", RANDBETWEEN(1,23), P24 ="State_Code", RANDBETWEEN(1,23), P24 = "Fed_Code", 99, P24 = "Summ_Article", 999, P24 = "Guide", 999)</f>
        <v>999</v>
      </c>
      <c r="R24" t="str">
        <f ca="1">VLOOKUP(Q24,'States and Locations'!$A$1:$B$26,2)</f>
        <v>UNK</v>
      </c>
      <c r="S24">
        <f ca="1">VLOOKUP(Q24,'States and Locations'!$A$1:$D$26,3)</f>
        <v>25</v>
      </c>
      <c r="T24">
        <f ca="1">VLOOKUP(Q24,'States and Locations'!$A$1:$D$26,4)</f>
        <v>-90</v>
      </c>
      <c r="U24">
        <f t="shared" ca="1" si="8"/>
        <v>3</v>
      </c>
      <c r="V24" t="str">
        <f ca="1">VLOOKUP('Master Sheet'!E24,'Code Options'!$A$1:$R$7,10)</f>
        <v>Wave_attenuation</v>
      </c>
      <c r="W24">
        <f t="shared" ca="1" si="9"/>
        <v>2</v>
      </c>
      <c r="X24" t="str">
        <f ca="1">VLOOKUP('Master Sheet'!E24,'Code Options'!$A$1:$R$7,11)</f>
        <v>Scuba</v>
      </c>
      <c r="Y24">
        <f t="shared" ca="1" si="10"/>
        <v>1</v>
      </c>
      <c r="Z24" t="str">
        <f ca="1">VLOOKUP('Master Sheet'!E24,'Code Options'!$A$1:$R$7,12)</f>
        <v>anglers</v>
      </c>
    </row>
    <row r="25" spans="1:26" x14ac:dyDescent="0.2">
      <c r="A25">
        <f t="shared" ca="1" si="0"/>
        <v>5</v>
      </c>
      <c r="B25" t="str">
        <f ca="1">VLOOKUP('Master Sheet'!A25,'Code Options'!$A$1:$B$7,2)</f>
        <v>Rock</v>
      </c>
      <c r="C25">
        <f t="shared" ca="1" si="1"/>
        <v>2</v>
      </c>
      <c r="D25" t="str">
        <f ca="1">VLOOKUP('Master Sheet'!C25,'Code Options'!$A$1:$R$7,3)</f>
        <v>Pro</v>
      </c>
      <c r="E25">
        <f t="shared" ca="1" si="2"/>
        <v>1</v>
      </c>
      <c r="F25" t="str">
        <f ca="1">VLOOKUP('Master Sheet'!E25,'Code Options'!$A$1:$R$7,4)</f>
        <v>Will</v>
      </c>
      <c r="G25">
        <f t="shared" ca="1" si="3"/>
        <v>1</v>
      </c>
      <c r="H25" t="str">
        <f ca="1">VLOOKUP('Master Sheet'!E25,'Code Options'!$A$1:$R$7,5)</f>
        <v>Will</v>
      </c>
      <c r="I25">
        <f t="shared" ca="1" si="4"/>
        <v>2</v>
      </c>
      <c r="J25" t="str">
        <f ca="1">VLOOKUP('Master Sheet'!G25,'Code Options'!$A$1:$R$7,6)</f>
        <v>County/Local</v>
      </c>
      <c r="K25">
        <f t="shared" ca="1" si="5"/>
        <v>4</v>
      </c>
      <c r="L25" t="str">
        <f ca="1">VLOOKUP('Master Sheet'!I25,'Code Options'!$A$1:$R$7,7)</f>
        <v>Production</v>
      </c>
      <c r="M25">
        <f t="shared" ca="1" si="6"/>
        <v>2</v>
      </c>
      <c r="N25" t="str">
        <f ca="1">VLOOKUP('Master Sheet'!K25,'Code Options'!$A$1:$R$7,8)</f>
        <v>Creation of AR Mat</v>
      </c>
      <c r="O25">
        <f t="shared" ca="1" si="7"/>
        <v>3</v>
      </c>
      <c r="P25" t="str">
        <f ca="1">VLOOKUP('Master Sheet'!E25,'Code Options'!$A$1:$R$7,9)</f>
        <v>State_Code</v>
      </c>
      <c r="Q25" cm="1">
        <f t="array" aca="1" ref="Q25" ca="1">_xlfn.IFS(P25 ="State_Plan", RANDBETWEEN(1,23), P25 ="State_Code", RANDBETWEEN(1,23), P25 = "Fed_Code", 99, P25 = "Summ_Article", 999, P25 = "Guide", 999)</f>
        <v>12</v>
      </c>
      <c r="R25" t="str">
        <f ca="1">VLOOKUP(Q25,'States and Locations'!$A$1:$B$26,2)</f>
        <v>South Carolina</v>
      </c>
      <c r="S25">
        <f ca="1">VLOOKUP(Q25,'States and Locations'!$A$1:$D$26,3)</f>
        <v>33.833300000000001</v>
      </c>
      <c r="T25">
        <f ca="1">VLOOKUP(Q25,'States and Locations'!$A$1:$D$26,4)</f>
        <v>-81.166700000000006</v>
      </c>
      <c r="U25">
        <f t="shared" ca="1" si="8"/>
        <v>5</v>
      </c>
      <c r="V25" t="str">
        <f ca="1">VLOOKUP('Master Sheet'!E25,'Code Options'!$A$1:$R$7,10)</f>
        <v>Hab_enhancement</v>
      </c>
      <c r="W25">
        <f t="shared" ca="1" si="9"/>
        <v>1</v>
      </c>
      <c r="X25" t="str">
        <f ca="1">VLOOKUP('Master Sheet'!E25,'Code Options'!$A$1:$R$7,11)</f>
        <v>Rec_Fish</v>
      </c>
      <c r="Y25">
        <f t="shared" ca="1" si="10"/>
        <v>4</v>
      </c>
      <c r="Z25" t="str">
        <f ca="1">VLOOKUP('Master Sheet'!E25,'Code Options'!$A$1:$R$7,12)</f>
        <v>AR_proj_plan_mngrs</v>
      </c>
    </row>
    <row r="26" spans="1:26" x14ac:dyDescent="0.2">
      <c r="A26">
        <f t="shared" ca="1" si="0"/>
        <v>1</v>
      </c>
      <c r="B26" t="str">
        <f ca="1">VLOOKUP('Master Sheet'!A26,'Code Options'!$A$1:$B$7,2)</f>
        <v>Composite</v>
      </c>
      <c r="C26">
        <f t="shared" ca="1" si="1"/>
        <v>1</v>
      </c>
      <c r="D26" t="str">
        <f ca="1">VLOOKUP('Master Sheet'!C26,'Code Options'!$A$1:$R$7,3)</f>
        <v>Retro</v>
      </c>
      <c r="E26">
        <f t="shared" ca="1" si="2"/>
        <v>4</v>
      </c>
      <c r="F26" t="str">
        <f ca="1">VLOOKUP('Master Sheet'!E26,'Code Options'!$A$1:$R$7,4)</f>
        <v>LM</v>
      </c>
      <c r="G26">
        <f t="shared" ca="1" si="3"/>
        <v>3</v>
      </c>
      <c r="H26">
        <f ca="1">VLOOKUP('Master Sheet'!E26,'Code Options'!$A$1:$R$7,5)</f>
        <v>0</v>
      </c>
      <c r="I26">
        <f t="shared" ca="1" si="4"/>
        <v>4</v>
      </c>
      <c r="J26" t="str">
        <f ca="1">VLOOKUP('Master Sheet'!G26,'Code Options'!$A$1:$R$7,6)</f>
        <v>Regional</v>
      </c>
      <c r="K26">
        <f t="shared" ca="1" si="5"/>
        <v>1</v>
      </c>
      <c r="L26" t="str">
        <f ca="1">VLOOKUP('Master Sheet'!I26,'Code Options'!$A$1:$R$7,7)</f>
        <v>Biodiversity</v>
      </c>
      <c r="M26">
        <f t="shared" ca="1" si="6"/>
        <v>2</v>
      </c>
      <c r="N26" t="str">
        <f ca="1">VLOOKUP('Master Sheet'!K26,'Code Options'!$A$1:$R$7,8)</f>
        <v>Fish.Enhancement</v>
      </c>
      <c r="O26">
        <f t="shared" ca="1" si="7"/>
        <v>5</v>
      </c>
      <c r="P26" t="str">
        <f ca="1">VLOOKUP('Master Sheet'!E26,'Code Options'!$A$1:$R$7,9)</f>
        <v>Summ_Article</v>
      </c>
      <c r="Q26" cm="1">
        <f t="array" aca="1" ref="Q26" ca="1">_xlfn.IFS(P26 ="State_Plan", RANDBETWEEN(1,23), P26 ="State_Code", RANDBETWEEN(1,23), P26 = "Fed_Code", 99, P26 = "Summ_Article", 999, P26 = "Guide", 999)</f>
        <v>999</v>
      </c>
      <c r="R26" t="str">
        <f ca="1">VLOOKUP(Q26,'States and Locations'!$A$1:$B$26,2)</f>
        <v>UNK</v>
      </c>
      <c r="S26">
        <f ca="1">VLOOKUP(Q26,'States and Locations'!$A$1:$D$26,3)</f>
        <v>25</v>
      </c>
      <c r="T26">
        <f ca="1">VLOOKUP(Q26,'States and Locations'!$A$1:$D$26,4)</f>
        <v>-90</v>
      </c>
      <c r="U26">
        <f t="shared" ca="1" si="8"/>
        <v>2</v>
      </c>
      <c r="V26" t="str">
        <f ca="1">VLOOKUP('Master Sheet'!E26,'Code Options'!$A$1:$R$7,10)</f>
        <v>Hab_restoration</v>
      </c>
      <c r="W26">
        <f t="shared" ca="1" si="9"/>
        <v>5</v>
      </c>
      <c r="X26" t="str">
        <f ca="1">VLOOKUP('Master Sheet'!E26,'Code Options'!$A$1:$R$7,11)</f>
        <v>Non-Fish_rec</v>
      </c>
      <c r="Y26">
        <f t="shared" ca="1" si="10"/>
        <v>4</v>
      </c>
      <c r="Z26" t="str">
        <f ca="1">VLOOKUP('Master Sheet'!E26,'Code Options'!$A$1:$R$7,12)</f>
        <v>people_interested</v>
      </c>
    </row>
    <row r="27" spans="1:26" x14ac:dyDescent="0.2">
      <c r="A27">
        <f t="shared" ca="1" si="0"/>
        <v>1</v>
      </c>
      <c r="B27" t="str">
        <f ca="1">VLOOKUP('Master Sheet'!A27,'Code Options'!$A$1:$B$7,2)</f>
        <v>Composite</v>
      </c>
      <c r="C27">
        <f t="shared" ca="1" si="1"/>
        <v>3</v>
      </c>
      <c r="D27" t="str">
        <f ca="1">VLOOKUP('Master Sheet'!C27,'Code Options'!$A$1:$R$7,3)</f>
        <v>Unsure</v>
      </c>
      <c r="E27">
        <f t="shared" ca="1" si="2"/>
        <v>3</v>
      </c>
      <c r="F27" t="str">
        <f ca="1">VLOOKUP('Master Sheet'!E27,'Code Options'!$A$1:$R$7,4)</f>
        <v>Jon</v>
      </c>
      <c r="G27">
        <f t="shared" ca="1" si="3"/>
        <v>2</v>
      </c>
      <c r="H27" t="str">
        <f ca="1">VLOOKUP('Master Sheet'!E27,'Code Options'!$A$1:$R$7,5)</f>
        <v>Nick</v>
      </c>
      <c r="I27">
        <f t="shared" ca="1" si="4"/>
        <v>3</v>
      </c>
      <c r="J27" t="str">
        <f ca="1">VLOOKUP('Master Sheet'!G27,'Code Options'!$A$1:$R$7,6)</f>
        <v>State</v>
      </c>
      <c r="K27">
        <f t="shared" ca="1" si="5"/>
        <v>1</v>
      </c>
      <c r="L27" t="str">
        <f ca="1">VLOOKUP('Master Sheet'!I27,'Code Options'!$A$1:$R$7,7)</f>
        <v>Aggregation</v>
      </c>
      <c r="M27">
        <f t="shared" ca="1" si="6"/>
        <v>1</v>
      </c>
      <c r="N27" t="str">
        <f ca="1">VLOOKUP('Master Sheet'!K27,'Code Options'!$A$1:$R$7,8)</f>
        <v>Fish.Enhancement</v>
      </c>
      <c r="O27">
        <f t="shared" ca="1" si="7"/>
        <v>4</v>
      </c>
      <c r="P27" t="str">
        <f ca="1">VLOOKUP('Master Sheet'!E27,'Code Options'!$A$1:$R$7,9)</f>
        <v>State_Plan</v>
      </c>
      <c r="Q27" cm="1">
        <f t="array" aca="1" ref="Q27" ca="1">_xlfn.IFS(P27 ="State_Plan", RANDBETWEEN(1,23), P27 ="State_Code", RANDBETWEEN(1,23), P27 = "Fed_Code", 99, P27 = "Summ_Article", 999, P27 = "Guide", 999)</f>
        <v>1</v>
      </c>
      <c r="R27" t="str">
        <f ca="1">VLOOKUP(Q27,'States and Locations'!$A$1:$B$26,2)</f>
        <v>Maine</v>
      </c>
      <c r="S27">
        <f ca="1">VLOOKUP(Q27,'States and Locations'!$A$1:$D$26,3)</f>
        <v>45.366700000000002</v>
      </c>
      <c r="T27">
        <f ca="1">VLOOKUP(Q27,'States and Locations'!$A$1:$D$26,4)</f>
        <v>-69.2333</v>
      </c>
      <c r="U27">
        <f t="shared" ca="1" si="8"/>
        <v>1</v>
      </c>
      <c r="V27" t="str">
        <f ca="1">VLOOKUP('Master Sheet'!E27,'Code Options'!$A$1:$R$7,10)</f>
        <v>Mitig.</v>
      </c>
      <c r="W27">
        <f t="shared" ca="1" si="9"/>
        <v>5</v>
      </c>
      <c r="X27" t="str">
        <f ca="1">VLOOKUP('Master Sheet'!E27,'Code Options'!$A$1:$R$7,11)</f>
        <v>Chart_Fish</v>
      </c>
      <c r="Y27">
        <f t="shared" ca="1" si="10"/>
        <v>1</v>
      </c>
      <c r="Z27" t="str">
        <f ca="1">VLOOKUP('Master Sheet'!E27,'Code Options'!$A$1:$R$7,12)</f>
        <v>Permit_reg_agencies</v>
      </c>
    </row>
    <row r="28" spans="1:26" x14ac:dyDescent="0.2">
      <c r="A28">
        <f t="shared" ca="1" si="0"/>
        <v>6</v>
      </c>
      <c r="B28" t="str">
        <f ca="1">VLOOKUP('Master Sheet'!A28,'Code Options'!$A$1:$B$7,2)</f>
        <v>Tires/Rubber</v>
      </c>
      <c r="C28">
        <f t="shared" ca="1" si="1"/>
        <v>1</v>
      </c>
      <c r="D28" t="str">
        <f ca="1">VLOOKUP('Master Sheet'!C28,'Code Options'!$A$1:$R$7,3)</f>
        <v>Retro</v>
      </c>
      <c r="E28">
        <f t="shared" ca="1" si="2"/>
        <v>3</v>
      </c>
      <c r="F28" t="str">
        <f ca="1">VLOOKUP('Master Sheet'!E28,'Code Options'!$A$1:$R$7,4)</f>
        <v>Jon</v>
      </c>
      <c r="G28">
        <f t="shared" ca="1" si="3"/>
        <v>2</v>
      </c>
      <c r="H28" t="str">
        <f ca="1">VLOOKUP('Master Sheet'!E28,'Code Options'!$A$1:$R$7,5)</f>
        <v>Nick</v>
      </c>
      <c r="I28">
        <f t="shared" ca="1" si="4"/>
        <v>2</v>
      </c>
      <c r="J28" t="str">
        <f ca="1">VLOOKUP('Master Sheet'!G28,'Code Options'!$A$1:$R$7,6)</f>
        <v>State</v>
      </c>
      <c r="K28">
        <f t="shared" ca="1" si="5"/>
        <v>3</v>
      </c>
      <c r="L28" t="str">
        <f ca="1">VLOOKUP('Master Sheet'!I28,'Code Options'!$A$1:$R$7,7)</f>
        <v>Production</v>
      </c>
      <c r="M28">
        <f t="shared" ca="1" si="6"/>
        <v>4</v>
      </c>
      <c r="N28" t="str">
        <f ca="1">VLOOKUP('Master Sheet'!K28,'Code Options'!$A$1:$R$7,8)</f>
        <v>Rec.Fish.Mngmt</v>
      </c>
      <c r="O28">
        <f t="shared" ca="1" si="7"/>
        <v>3</v>
      </c>
      <c r="P28" t="str">
        <f ca="1">VLOOKUP('Master Sheet'!E28,'Code Options'!$A$1:$R$7,9)</f>
        <v>State_Plan</v>
      </c>
      <c r="Q28" cm="1">
        <f t="array" aca="1" ref="Q28" ca="1">_xlfn.IFS(P28 ="State_Plan", RANDBETWEEN(1,23), P28 ="State_Code", RANDBETWEEN(1,23), P28 = "Fed_Code", 99, P28 = "Summ_Article", 999, P28 = "Guide", 999)</f>
        <v>13</v>
      </c>
      <c r="R28" t="str">
        <f ca="1">VLOOKUP(Q28,'States and Locations'!$A$1:$B$26,2)</f>
        <v>Georgia</v>
      </c>
      <c r="S28">
        <f ca="1">VLOOKUP(Q28,'States and Locations'!$A$1:$D$26,3)</f>
        <v>32.716700000000003</v>
      </c>
      <c r="T28">
        <f ca="1">VLOOKUP(Q28,'States and Locations'!$A$1:$D$26,4)</f>
        <v>-83.5</v>
      </c>
      <c r="U28">
        <f t="shared" ca="1" si="8"/>
        <v>5</v>
      </c>
      <c r="V28" t="str">
        <f ca="1">VLOOKUP('Master Sheet'!E28,'Code Options'!$A$1:$R$7,10)</f>
        <v>Mitig.</v>
      </c>
      <c r="W28">
        <f t="shared" ca="1" si="9"/>
        <v>5</v>
      </c>
      <c r="X28" t="str">
        <f ca="1">VLOOKUP('Master Sheet'!E28,'Code Options'!$A$1:$R$7,11)</f>
        <v>Chart_Fish</v>
      </c>
      <c r="Y28">
        <f t="shared" ca="1" si="10"/>
        <v>2</v>
      </c>
      <c r="Z28" t="str">
        <f ca="1">VLOOKUP('Master Sheet'!E28,'Code Options'!$A$1:$R$7,12)</f>
        <v>Permit_reg_agencies</v>
      </c>
    </row>
    <row r="29" spans="1:26" x14ac:dyDescent="0.2">
      <c r="A29">
        <f t="shared" ca="1" si="0"/>
        <v>2</v>
      </c>
      <c r="B29" t="str">
        <f ca="1">VLOOKUP('Master Sheet'!A29,'Code Options'!$A$1:$B$7,2)</f>
        <v>Concrete</v>
      </c>
      <c r="C29">
        <f t="shared" ca="1" si="1"/>
        <v>2</v>
      </c>
      <c r="D29" t="str">
        <f ca="1">VLOOKUP('Master Sheet'!C29,'Code Options'!$A$1:$R$7,3)</f>
        <v>Pro</v>
      </c>
      <c r="E29">
        <f t="shared" ca="1" si="2"/>
        <v>1</v>
      </c>
      <c r="F29" t="str">
        <f ca="1">VLOOKUP('Master Sheet'!E29,'Code Options'!$A$1:$R$7,4)</f>
        <v>Will</v>
      </c>
      <c r="G29">
        <f t="shared" ca="1" si="3"/>
        <v>2</v>
      </c>
      <c r="H29" t="str">
        <f ca="1">VLOOKUP('Master Sheet'!E29,'Code Options'!$A$1:$R$7,5)</f>
        <v>Will</v>
      </c>
      <c r="I29">
        <f t="shared" ca="1" si="4"/>
        <v>3</v>
      </c>
      <c r="J29" t="str">
        <f ca="1">VLOOKUP('Master Sheet'!G29,'Code Options'!$A$1:$R$7,6)</f>
        <v>State</v>
      </c>
      <c r="K29">
        <f t="shared" ca="1" si="5"/>
        <v>2</v>
      </c>
      <c r="L29" t="str">
        <f ca="1">VLOOKUP('Master Sheet'!I29,'Code Options'!$A$1:$R$7,7)</f>
        <v>Aggregation</v>
      </c>
      <c r="M29">
        <f t="shared" ca="1" si="6"/>
        <v>5</v>
      </c>
      <c r="N29" t="str">
        <f ca="1">VLOOKUP('Master Sheet'!K29,'Code Options'!$A$1:$R$7,8)</f>
        <v>Comm.Fish.Mngmt</v>
      </c>
      <c r="O29">
        <f t="shared" ca="1" si="7"/>
        <v>1</v>
      </c>
      <c r="P29" t="str">
        <f ca="1">VLOOKUP('Master Sheet'!E29,'Code Options'!$A$1:$R$7,9)</f>
        <v>State_Code</v>
      </c>
      <c r="Q29" cm="1">
        <f t="array" aca="1" ref="Q29" ca="1">_xlfn.IFS(P29 ="State_Plan", RANDBETWEEN(1,23), P29 ="State_Code", RANDBETWEEN(1,23), P29 = "Fed_Code", 99, P29 = "Summ_Article", 999, P29 = "Guide", 999)</f>
        <v>22</v>
      </c>
      <c r="R29" t="str">
        <f ca="1">VLOOKUP(Q29,'States and Locations'!$A$1:$B$26,2)</f>
        <v>Alaska</v>
      </c>
      <c r="S29">
        <f ca="1">VLOOKUP(Q29,'States and Locations'!$A$1:$D$26,3)</f>
        <v>64.7333</v>
      </c>
      <c r="T29">
        <f ca="1">VLOOKUP(Q29,'States and Locations'!$A$1:$D$26,4)</f>
        <v>-152.4667</v>
      </c>
      <c r="U29">
        <f t="shared" ca="1" si="8"/>
        <v>5</v>
      </c>
      <c r="V29" t="str">
        <f ca="1">VLOOKUP('Master Sheet'!E29,'Code Options'!$A$1:$R$7,10)</f>
        <v>Hab_enhancement</v>
      </c>
      <c r="W29">
        <f t="shared" ca="1" si="9"/>
        <v>3</v>
      </c>
      <c r="X29" t="str">
        <f ca="1">VLOOKUP('Master Sheet'!E29,'Code Options'!$A$1:$R$7,11)</f>
        <v>Rec_Fish</v>
      </c>
      <c r="Y29">
        <f t="shared" ca="1" si="10"/>
        <v>5</v>
      </c>
      <c r="Z29" t="str">
        <f ca="1">VLOOKUP('Master Sheet'!E29,'Code Options'!$A$1:$R$7,12)</f>
        <v>AR_proj_plan_mngrs</v>
      </c>
    </row>
    <row r="30" spans="1:26" x14ac:dyDescent="0.2">
      <c r="A30">
        <f t="shared" ca="1" si="0"/>
        <v>6</v>
      </c>
      <c r="B30" t="str">
        <f ca="1">VLOOKUP('Master Sheet'!A30,'Code Options'!$A$1:$B$7,2)</f>
        <v>Tires/Rubber</v>
      </c>
      <c r="C30">
        <f t="shared" ca="1" si="1"/>
        <v>3</v>
      </c>
      <c r="D30" t="str">
        <f ca="1">VLOOKUP('Master Sheet'!C30,'Code Options'!$A$1:$R$7,3)</f>
        <v>Unsure</v>
      </c>
      <c r="E30">
        <f t="shared" ca="1" si="2"/>
        <v>4</v>
      </c>
      <c r="F30" t="str">
        <f ca="1">VLOOKUP('Master Sheet'!E30,'Code Options'!$A$1:$R$7,4)</f>
        <v>LM</v>
      </c>
      <c r="G30">
        <f t="shared" ca="1" si="3"/>
        <v>2</v>
      </c>
      <c r="H30">
        <f ca="1">VLOOKUP('Master Sheet'!E30,'Code Options'!$A$1:$R$7,5)</f>
        <v>0</v>
      </c>
      <c r="I30">
        <f t="shared" ca="1" si="4"/>
        <v>1</v>
      </c>
      <c r="J30" t="str">
        <f ca="1">VLOOKUP('Master Sheet'!G30,'Code Options'!$A$1:$R$7,6)</f>
        <v>State</v>
      </c>
      <c r="K30">
        <f t="shared" ca="1" si="5"/>
        <v>3</v>
      </c>
      <c r="L30" t="str">
        <f ca="1">VLOOKUP('Master Sheet'!I30,'Code Options'!$A$1:$R$7,7)</f>
        <v>Habitat</v>
      </c>
      <c r="M30">
        <f t="shared" ca="1" si="6"/>
        <v>4</v>
      </c>
      <c r="N30" t="str">
        <f ca="1">VLOOKUP('Master Sheet'!K30,'Code Options'!$A$1:$R$7,8)</f>
        <v>Rec.Fish.Mngmt</v>
      </c>
      <c r="O30">
        <f t="shared" ca="1" si="7"/>
        <v>2</v>
      </c>
      <c r="P30" t="str">
        <f ca="1">VLOOKUP('Master Sheet'!E30,'Code Options'!$A$1:$R$7,9)</f>
        <v>Summ_Article</v>
      </c>
      <c r="Q30" cm="1">
        <f t="array" aca="1" ref="Q30" ca="1">_xlfn.IFS(P30 ="State_Plan", RANDBETWEEN(1,23), P30 ="State_Code", RANDBETWEEN(1,23), P30 = "Fed_Code", 99, P30 = "Summ_Article", 999, P30 = "Guide", 999)</f>
        <v>999</v>
      </c>
      <c r="R30" t="str">
        <f ca="1">VLOOKUP(Q30,'States and Locations'!$A$1:$B$26,2)</f>
        <v>UNK</v>
      </c>
      <c r="S30">
        <f ca="1">VLOOKUP(Q30,'States and Locations'!$A$1:$D$26,3)</f>
        <v>25</v>
      </c>
      <c r="T30">
        <f ca="1">VLOOKUP(Q30,'States and Locations'!$A$1:$D$26,4)</f>
        <v>-90</v>
      </c>
      <c r="U30">
        <f t="shared" ca="1" si="8"/>
        <v>1</v>
      </c>
      <c r="V30" t="str">
        <f ca="1">VLOOKUP('Master Sheet'!E30,'Code Options'!$A$1:$R$7,10)</f>
        <v>Hab_restoration</v>
      </c>
      <c r="W30">
        <f t="shared" ca="1" si="9"/>
        <v>3</v>
      </c>
      <c r="X30" t="str">
        <f ca="1">VLOOKUP('Master Sheet'!E30,'Code Options'!$A$1:$R$7,11)</f>
        <v>Non-Fish_rec</v>
      </c>
      <c r="Y30">
        <f t="shared" ca="1" si="10"/>
        <v>4</v>
      </c>
      <c r="Z30" t="str">
        <f ca="1">VLOOKUP('Master Sheet'!E30,'Code Options'!$A$1:$R$7,12)</f>
        <v>people_interested</v>
      </c>
    </row>
    <row r="31" spans="1:26" x14ac:dyDescent="0.2">
      <c r="A31">
        <f t="shared" ca="1" si="0"/>
        <v>5</v>
      </c>
      <c r="B31" t="str">
        <f ca="1">VLOOKUP('Master Sheet'!A31,'Code Options'!$A$1:$B$7,2)</f>
        <v>Rock</v>
      </c>
      <c r="C31">
        <f t="shared" ca="1" si="1"/>
        <v>2</v>
      </c>
      <c r="D31" t="str">
        <f ca="1">VLOOKUP('Master Sheet'!C31,'Code Options'!$A$1:$R$7,3)</f>
        <v>Pro</v>
      </c>
      <c r="E31">
        <f t="shared" ca="1" si="2"/>
        <v>1</v>
      </c>
      <c r="F31" t="str">
        <f ca="1">VLOOKUP('Master Sheet'!E31,'Code Options'!$A$1:$R$7,4)</f>
        <v>Will</v>
      </c>
      <c r="G31">
        <f t="shared" ca="1" si="3"/>
        <v>3</v>
      </c>
      <c r="H31" t="str">
        <f ca="1">VLOOKUP('Master Sheet'!E31,'Code Options'!$A$1:$R$7,5)</f>
        <v>Will</v>
      </c>
      <c r="I31">
        <f t="shared" ca="1" si="4"/>
        <v>2</v>
      </c>
      <c r="J31" t="str">
        <f ca="1">VLOOKUP('Master Sheet'!G31,'Code Options'!$A$1:$R$7,6)</f>
        <v>Regional</v>
      </c>
      <c r="K31">
        <f t="shared" ca="1" si="5"/>
        <v>4</v>
      </c>
      <c r="L31" t="str">
        <f ca="1">VLOOKUP('Master Sheet'!I31,'Code Options'!$A$1:$R$7,7)</f>
        <v>Production</v>
      </c>
      <c r="M31">
        <f t="shared" ca="1" si="6"/>
        <v>4</v>
      </c>
      <c r="N31" t="str">
        <f ca="1">VLOOKUP('Master Sheet'!K31,'Code Options'!$A$1:$R$7,8)</f>
        <v>Creation of AR Mat</v>
      </c>
      <c r="O31">
        <f t="shared" ca="1" si="7"/>
        <v>2</v>
      </c>
      <c r="P31" t="str">
        <f ca="1">VLOOKUP('Master Sheet'!E31,'Code Options'!$A$1:$R$7,9)</f>
        <v>State_Code</v>
      </c>
      <c r="Q31" cm="1">
        <f t="array" aca="1" ref="Q31" ca="1">_xlfn.IFS(P31 ="State_Plan", RANDBETWEEN(1,23), P31 ="State_Code", RANDBETWEEN(1,23), P31 = "Fed_Code", 99, P31 = "Summ_Article", 999, P31 = "Guide", 999)</f>
        <v>8</v>
      </c>
      <c r="R31" t="str">
        <f ca="1">VLOOKUP(Q31,'States and Locations'!$A$1:$B$26,2)</f>
        <v>Delaware</v>
      </c>
      <c r="S31">
        <f ca="1">VLOOKUP(Q31,'States and Locations'!$A$1:$D$26,3)</f>
        <v>38.9833</v>
      </c>
      <c r="T31">
        <f ca="1">VLOOKUP(Q31,'States and Locations'!$A$1:$D$26,4)</f>
        <v>-75.5167</v>
      </c>
      <c r="U31">
        <f t="shared" ca="1" si="8"/>
        <v>1</v>
      </c>
      <c r="V31" t="str">
        <f ca="1">VLOOKUP('Master Sheet'!E31,'Code Options'!$A$1:$R$7,10)</f>
        <v>Hab_enhancement</v>
      </c>
      <c r="W31">
        <f t="shared" ca="1" si="9"/>
        <v>5</v>
      </c>
      <c r="X31" t="str">
        <f ca="1">VLOOKUP('Master Sheet'!E31,'Code Options'!$A$1:$R$7,11)</f>
        <v>Rec_Fish</v>
      </c>
      <c r="Y31">
        <f t="shared" ca="1" si="10"/>
        <v>3</v>
      </c>
      <c r="Z31" t="str">
        <f ca="1">VLOOKUP('Master Sheet'!E31,'Code Options'!$A$1:$R$7,12)</f>
        <v>AR_proj_plan_mngrs</v>
      </c>
    </row>
    <row r="32" spans="1:26" x14ac:dyDescent="0.2">
      <c r="A32">
        <f t="shared" ca="1" si="0"/>
        <v>2</v>
      </c>
      <c r="B32" t="str">
        <f ca="1">VLOOKUP('Master Sheet'!A32,'Code Options'!$A$1:$B$7,2)</f>
        <v>Concrete</v>
      </c>
      <c r="C32">
        <f t="shared" ca="1" si="1"/>
        <v>2</v>
      </c>
      <c r="D32" t="str">
        <f ca="1">VLOOKUP('Master Sheet'!C32,'Code Options'!$A$1:$R$7,3)</f>
        <v>Pro</v>
      </c>
      <c r="E32">
        <f t="shared" ca="1" si="2"/>
        <v>2</v>
      </c>
      <c r="F32" t="str">
        <f ca="1">VLOOKUP('Master Sheet'!E32,'Code Options'!$A$1:$R$7,4)</f>
        <v>Cyndi</v>
      </c>
      <c r="G32">
        <f t="shared" ca="1" si="3"/>
        <v>2</v>
      </c>
      <c r="H32" t="str">
        <f ca="1">VLOOKUP('Master Sheet'!E32,'Code Options'!$A$1:$R$7,5)</f>
        <v>Cyndi</v>
      </c>
      <c r="I32">
        <f t="shared" ca="1" si="4"/>
        <v>3</v>
      </c>
      <c r="J32" t="str">
        <f ca="1">VLOOKUP('Master Sheet'!G32,'Code Options'!$A$1:$R$7,6)</f>
        <v>State</v>
      </c>
      <c r="K32">
        <f t="shared" ca="1" si="5"/>
        <v>2</v>
      </c>
      <c r="L32" t="str">
        <f ca="1">VLOOKUP('Master Sheet'!I32,'Code Options'!$A$1:$R$7,7)</f>
        <v>Aggregation</v>
      </c>
      <c r="M32">
        <f t="shared" ca="1" si="6"/>
        <v>5</v>
      </c>
      <c r="N32" t="str">
        <f ca="1">VLOOKUP('Master Sheet'!K32,'Code Options'!$A$1:$R$7,8)</f>
        <v>Comm.Fish.Mngmt</v>
      </c>
      <c r="O32">
        <f t="shared" ca="1" si="7"/>
        <v>4</v>
      </c>
      <c r="P32" t="str">
        <f ca="1">VLOOKUP('Master Sheet'!E32,'Code Options'!$A$1:$R$7,9)</f>
        <v>Fed_Code</v>
      </c>
      <c r="Q32" cm="1">
        <f t="array" aca="1" ref="Q32" ca="1">_xlfn.IFS(P32 ="State_Plan", RANDBETWEEN(1,23), P32 ="State_Code", RANDBETWEEN(1,23), P32 = "Fed_Code", 99, P32 = "Summ_Article", 999, P32 = "Guide", 999)</f>
        <v>99</v>
      </c>
      <c r="R32" t="str">
        <f ca="1">VLOOKUP(Q32,'States and Locations'!$A$1:$B$26,2)</f>
        <v>National</v>
      </c>
      <c r="S32">
        <f ca="1">VLOOKUP(Q32,'States and Locations'!$A$1:$D$26,3)</f>
        <v>39.833300000000001</v>
      </c>
      <c r="T32">
        <f ca="1">VLOOKUP(Q32,'States and Locations'!$A$1:$D$26,4)</f>
        <v>-98.583299999999994</v>
      </c>
      <c r="U32">
        <f t="shared" ca="1" si="8"/>
        <v>1</v>
      </c>
      <c r="V32" t="str">
        <f ca="1">VLOOKUP('Master Sheet'!E32,'Code Options'!$A$1:$R$7,10)</f>
        <v>Disposal</v>
      </c>
      <c r="W32">
        <f t="shared" ca="1" si="9"/>
        <v>4</v>
      </c>
      <c r="X32" t="str">
        <f ca="1">VLOOKUP('Master Sheet'!E32,'Code Options'!$A$1:$R$7,11)</f>
        <v>Comm_Fish</v>
      </c>
      <c r="Y32">
        <f t="shared" ca="1" si="10"/>
        <v>3</v>
      </c>
      <c r="Z32" t="str">
        <f ca="1">VLOOKUP('Master Sheet'!E32,'Code Options'!$A$1:$R$7,12)</f>
        <v>AS_constructors</v>
      </c>
    </row>
    <row r="33" spans="1:26" x14ac:dyDescent="0.2">
      <c r="A33">
        <f t="shared" ca="1" si="0"/>
        <v>4</v>
      </c>
      <c r="B33" t="str">
        <f ca="1">VLOOKUP('Master Sheet'!A33,'Code Options'!$A$1:$B$7,2)</f>
        <v>Other</v>
      </c>
      <c r="C33">
        <f t="shared" ca="1" si="1"/>
        <v>3</v>
      </c>
      <c r="D33" t="str">
        <f ca="1">VLOOKUP('Master Sheet'!C33,'Code Options'!$A$1:$R$7,3)</f>
        <v>Unsure</v>
      </c>
      <c r="E33">
        <f t="shared" ca="1" si="2"/>
        <v>5</v>
      </c>
      <c r="F33" t="str">
        <f ca="1">VLOOKUP('Master Sheet'!E33,'Code Options'!$A$1:$R$7,4)</f>
        <v>Nick</v>
      </c>
      <c r="G33">
        <f t="shared" ca="1" si="3"/>
        <v>2</v>
      </c>
      <c r="H33">
        <f ca="1">VLOOKUP('Master Sheet'!E33,'Code Options'!$A$1:$R$7,5)</f>
        <v>0</v>
      </c>
      <c r="I33">
        <f t="shared" ca="1" si="4"/>
        <v>1</v>
      </c>
      <c r="J33" t="str">
        <f ca="1">VLOOKUP('Master Sheet'!G33,'Code Options'!$A$1:$R$7,6)</f>
        <v>State</v>
      </c>
      <c r="K33">
        <f t="shared" ca="1" si="5"/>
        <v>2</v>
      </c>
      <c r="L33" t="str">
        <f ca="1">VLOOKUP('Master Sheet'!I33,'Code Options'!$A$1:$R$7,7)</f>
        <v>Habitat</v>
      </c>
      <c r="M33">
        <f t="shared" ca="1" si="6"/>
        <v>2</v>
      </c>
      <c r="N33" t="str">
        <f ca="1">VLOOKUP('Master Sheet'!K33,'Code Options'!$A$1:$R$7,8)</f>
        <v>Comm.Fish.Mngmt</v>
      </c>
      <c r="O33">
        <f t="shared" ca="1" si="7"/>
        <v>4</v>
      </c>
      <c r="P33" t="str">
        <f ca="1">VLOOKUP('Master Sheet'!E33,'Code Options'!$A$1:$R$7,9)</f>
        <v>Guide</v>
      </c>
      <c r="Q33" cm="1">
        <f t="array" aca="1" ref="Q33" ca="1">_xlfn.IFS(P33 ="State_Plan", RANDBETWEEN(1,23), P33 ="State_Code", RANDBETWEEN(1,23), P33 = "Fed_Code", 99, P33 = "Summ_Article", 999, P33 = "Guide", 999)</f>
        <v>999</v>
      </c>
      <c r="R33" t="str">
        <f ca="1">VLOOKUP(Q33,'States and Locations'!$A$1:$B$26,2)</f>
        <v>UNK</v>
      </c>
      <c r="S33">
        <f ca="1">VLOOKUP(Q33,'States and Locations'!$A$1:$D$26,3)</f>
        <v>25</v>
      </c>
      <c r="T33">
        <f ca="1">VLOOKUP(Q33,'States and Locations'!$A$1:$D$26,4)</f>
        <v>-90</v>
      </c>
      <c r="U33">
        <f t="shared" ca="1" si="8"/>
        <v>4</v>
      </c>
      <c r="V33" t="str">
        <f ca="1">VLOOKUP('Master Sheet'!E33,'Code Options'!$A$1:$R$7,10)</f>
        <v>Wave_attenuation</v>
      </c>
      <c r="W33">
        <f t="shared" ca="1" si="9"/>
        <v>2</v>
      </c>
      <c r="X33" t="str">
        <f ca="1">VLOOKUP('Master Sheet'!E33,'Code Options'!$A$1:$R$7,11)</f>
        <v>Scuba</v>
      </c>
      <c r="Y33">
        <f t="shared" ca="1" si="10"/>
        <v>1</v>
      </c>
      <c r="Z33" t="str">
        <f ca="1">VLOOKUP('Master Sheet'!E33,'Code Options'!$A$1:$R$7,12)</f>
        <v>anglers</v>
      </c>
    </row>
    <row r="34" spans="1:26" x14ac:dyDescent="0.2">
      <c r="A34">
        <f t="shared" ca="1" si="0"/>
        <v>6</v>
      </c>
      <c r="B34" t="str">
        <f ca="1">VLOOKUP('Master Sheet'!A34,'Code Options'!$A$1:$B$7,2)</f>
        <v>Tires/Rubber</v>
      </c>
      <c r="C34">
        <f t="shared" ca="1" si="1"/>
        <v>1</v>
      </c>
      <c r="D34" t="str">
        <f ca="1">VLOOKUP('Master Sheet'!C34,'Code Options'!$A$1:$R$7,3)</f>
        <v>Retro</v>
      </c>
      <c r="E34">
        <f t="shared" ca="1" si="2"/>
        <v>1</v>
      </c>
      <c r="F34" t="str">
        <f ca="1">VLOOKUP('Master Sheet'!E34,'Code Options'!$A$1:$R$7,4)</f>
        <v>Will</v>
      </c>
      <c r="G34">
        <f t="shared" ca="1" si="3"/>
        <v>3</v>
      </c>
      <c r="H34" t="str">
        <f ca="1">VLOOKUP('Master Sheet'!E34,'Code Options'!$A$1:$R$7,5)</f>
        <v>Will</v>
      </c>
      <c r="I34">
        <f t="shared" ca="1" si="4"/>
        <v>2</v>
      </c>
      <c r="J34" t="str">
        <f ca="1">VLOOKUP('Master Sheet'!G34,'Code Options'!$A$1:$R$7,6)</f>
        <v>Regional</v>
      </c>
      <c r="K34">
        <f t="shared" ca="1" si="5"/>
        <v>3</v>
      </c>
      <c r="L34" t="str">
        <f ca="1">VLOOKUP('Master Sheet'!I34,'Code Options'!$A$1:$R$7,7)</f>
        <v>Production</v>
      </c>
      <c r="M34">
        <f t="shared" ca="1" si="6"/>
        <v>5</v>
      </c>
      <c r="N34" t="str">
        <f ca="1">VLOOKUP('Master Sheet'!K34,'Code Options'!$A$1:$R$7,8)</f>
        <v>Rec.Fish.Mngmt</v>
      </c>
      <c r="O34">
        <f t="shared" ca="1" si="7"/>
        <v>4</v>
      </c>
      <c r="P34" t="str">
        <f ca="1">VLOOKUP('Master Sheet'!E34,'Code Options'!$A$1:$R$7,9)</f>
        <v>State_Code</v>
      </c>
      <c r="Q34" cm="1">
        <f t="array" aca="1" ref="Q34" ca="1">_xlfn.IFS(P34 ="State_Plan", RANDBETWEEN(1,23), P34 ="State_Code", RANDBETWEEN(1,23), P34 = "Fed_Code", 99, P34 = "Summ_Article", 999, P34 = "Guide", 999)</f>
        <v>8</v>
      </c>
      <c r="R34" t="str">
        <f ca="1">VLOOKUP(Q34,'States and Locations'!$A$1:$B$26,2)</f>
        <v>Delaware</v>
      </c>
      <c r="S34">
        <f ca="1">VLOOKUP(Q34,'States and Locations'!$A$1:$D$26,3)</f>
        <v>38.9833</v>
      </c>
      <c r="T34">
        <f ca="1">VLOOKUP(Q34,'States and Locations'!$A$1:$D$26,4)</f>
        <v>-75.5167</v>
      </c>
      <c r="U34">
        <f t="shared" ca="1" si="8"/>
        <v>2</v>
      </c>
      <c r="V34" t="str">
        <f ca="1">VLOOKUP('Master Sheet'!E34,'Code Options'!$A$1:$R$7,10)</f>
        <v>Hab_enhancement</v>
      </c>
      <c r="W34">
        <f t="shared" ca="1" si="9"/>
        <v>1</v>
      </c>
      <c r="X34" t="str">
        <f ca="1">VLOOKUP('Master Sheet'!E34,'Code Options'!$A$1:$R$7,11)</f>
        <v>Rec_Fish</v>
      </c>
      <c r="Y34">
        <f t="shared" ca="1" si="10"/>
        <v>2</v>
      </c>
      <c r="Z34" t="str">
        <f ca="1">VLOOKUP('Master Sheet'!E34,'Code Options'!$A$1:$R$7,12)</f>
        <v>AR_proj_plan_mngrs</v>
      </c>
    </row>
    <row r="35" spans="1:26" x14ac:dyDescent="0.2">
      <c r="A35">
        <f t="shared" ca="1" si="0"/>
        <v>6</v>
      </c>
      <c r="B35" t="str">
        <f ca="1">VLOOKUP('Master Sheet'!A35,'Code Options'!$A$1:$B$7,2)</f>
        <v>Tires/Rubber</v>
      </c>
      <c r="C35">
        <f t="shared" ca="1" si="1"/>
        <v>3</v>
      </c>
      <c r="D35" t="str">
        <f ca="1">VLOOKUP('Master Sheet'!C35,'Code Options'!$A$1:$R$7,3)</f>
        <v>Unsure</v>
      </c>
      <c r="E35">
        <f t="shared" ca="1" si="2"/>
        <v>1</v>
      </c>
      <c r="F35" t="str">
        <f ca="1">VLOOKUP('Master Sheet'!E35,'Code Options'!$A$1:$R$7,4)</f>
        <v>Will</v>
      </c>
      <c r="G35">
        <f t="shared" ca="1" si="3"/>
        <v>2</v>
      </c>
      <c r="H35" t="str">
        <f ca="1">VLOOKUP('Master Sheet'!E35,'Code Options'!$A$1:$R$7,5)</f>
        <v>Will</v>
      </c>
      <c r="I35">
        <f t="shared" ca="1" si="4"/>
        <v>3</v>
      </c>
      <c r="J35" t="str">
        <f ca="1">VLOOKUP('Master Sheet'!G35,'Code Options'!$A$1:$R$7,6)</f>
        <v>State</v>
      </c>
      <c r="K35">
        <f t="shared" ca="1" si="5"/>
        <v>1</v>
      </c>
      <c r="L35" t="str">
        <f ca="1">VLOOKUP('Master Sheet'!I35,'Code Options'!$A$1:$R$7,7)</f>
        <v>Aggregation</v>
      </c>
      <c r="M35">
        <f t="shared" ca="1" si="6"/>
        <v>4</v>
      </c>
      <c r="N35" t="str">
        <f ca="1">VLOOKUP('Master Sheet'!K35,'Code Options'!$A$1:$R$7,8)</f>
        <v>Fish.Enhancement</v>
      </c>
      <c r="O35">
        <f t="shared" ca="1" si="7"/>
        <v>3</v>
      </c>
      <c r="P35" t="str">
        <f ca="1">VLOOKUP('Master Sheet'!E35,'Code Options'!$A$1:$R$7,9)</f>
        <v>State_Code</v>
      </c>
      <c r="Q35" cm="1">
        <f t="array" aca="1" ref="Q35" ca="1">_xlfn.IFS(P35 ="State_Plan", RANDBETWEEN(1,23), P35 ="State_Code", RANDBETWEEN(1,23), P35 = "Fed_Code", 99, P35 = "Summ_Article", 999, P35 = "Guide", 999)</f>
        <v>20</v>
      </c>
      <c r="R35" t="str">
        <f ca="1">VLOOKUP(Q35,'States and Locations'!$A$1:$B$26,2)</f>
        <v>Oregon</v>
      </c>
      <c r="S35">
        <f ca="1">VLOOKUP(Q35,'States and Locations'!$A$1:$D$26,3)</f>
        <v>43.933300000000003</v>
      </c>
      <c r="T35">
        <f ca="1">VLOOKUP(Q35,'States and Locations'!$A$1:$D$26,4)</f>
        <v>-120.5667</v>
      </c>
      <c r="U35">
        <f t="shared" ca="1" si="8"/>
        <v>3</v>
      </c>
      <c r="V35" t="str">
        <f ca="1">VLOOKUP('Master Sheet'!E35,'Code Options'!$A$1:$R$7,10)</f>
        <v>Hab_enhancement</v>
      </c>
      <c r="W35">
        <f t="shared" ca="1" si="9"/>
        <v>1</v>
      </c>
      <c r="X35" t="str">
        <f ca="1">VLOOKUP('Master Sheet'!E35,'Code Options'!$A$1:$R$7,11)</f>
        <v>Rec_Fish</v>
      </c>
      <c r="Y35">
        <f t="shared" ca="1" si="10"/>
        <v>5</v>
      </c>
      <c r="Z35" t="str">
        <f ca="1">VLOOKUP('Master Sheet'!E35,'Code Options'!$A$1:$R$7,12)</f>
        <v>AR_proj_plan_mngrs</v>
      </c>
    </row>
    <row r="36" spans="1:26" x14ac:dyDescent="0.2">
      <c r="A36">
        <f t="shared" ca="1" si="0"/>
        <v>4</v>
      </c>
      <c r="B36" t="str">
        <f ca="1">VLOOKUP('Master Sheet'!A36,'Code Options'!$A$1:$B$7,2)</f>
        <v>Other</v>
      </c>
      <c r="C36">
        <f t="shared" ca="1" si="1"/>
        <v>3</v>
      </c>
      <c r="D36" t="str">
        <f ca="1">VLOOKUP('Master Sheet'!C36,'Code Options'!$A$1:$R$7,3)</f>
        <v>Unsure</v>
      </c>
      <c r="E36">
        <f t="shared" ca="1" si="2"/>
        <v>2</v>
      </c>
      <c r="F36" t="str">
        <f ca="1">VLOOKUP('Master Sheet'!E36,'Code Options'!$A$1:$R$7,4)</f>
        <v>Cyndi</v>
      </c>
      <c r="G36">
        <f t="shared" ca="1" si="3"/>
        <v>3</v>
      </c>
      <c r="H36" t="str">
        <f ca="1">VLOOKUP('Master Sheet'!E36,'Code Options'!$A$1:$R$7,5)</f>
        <v>Cyndi</v>
      </c>
      <c r="I36">
        <f t="shared" ca="1" si="4"/>
        <v>4</v>
      </c>
      <c r="J36" t="str">
        <f ca="1">VLOOKUP('Master Sheet'!G36,'Code Options'!$A$1:$R$7,6)</f>
        <v>Regional</v>
      </c>
      <c r="K36">
        <f t="shared" ca="1" si="5"/>
        <v>1</v>
      </c>
      <c r="L36" t="str">
        <f ca="1">VLOOKUP('Master Sheet'!I36,'Code Options'!$A$1:$R$7,7)</f>
        <v>Biodiversity</v>
      </c>
      <c r="M36">
        <f t="shared" ca="1" si="6"/>
        <v>4</v>
      </c>
      <c r="N36" t="str">
        <f ca="1">VLOOKUP('Master Sheet'!K36,'Code Options'!$A$1:$R$7,8)</f>
        <v>Fish.Enhancement</v>
      </c>
      <c r="O36">
        <f t="shared" ca="1" si="7"/>
        <v>1</v>
      </c>
      <c r="P36" t="str">
        <f ca="1">VLOOKUP('Master Sheet'!E36,'Code Options'!$A$1:$R$7,9)</f>
        <v>Fed_Code</v>
      </c>
      <c r="Q36" cm="1">
        <f t="array" aca="1" ref="Q36" ca="1">_xlfn.IFS(P36 ="State_Plan", RANDBETWEEN(1,23), P36 ="State_Code", RANDBETWEEN(1,23), P36 = "Fed_Code", 99, P36 = "Summ_Article", 999, P36 = "Guide", 999)</f>
        <v>99</v>
      </c>
      <c r="R36" t="str">
        <f ca="1">VLOOKUP(Q36,'States and Locations'!$A$1:$B$26,2)</f>
        <v>National</v>
      </c>
      <c r="S36">
        <f ca="1">VLOOKUP(Q36,'States and Locations'!$A$1:$D$26,3)</f>
        <v>39.833300000000001</v>
      </c>
      <c r="T36">
        <f ca="1">VLOOKUP(Q36,'States and Locations'!$A$1:$D$26,4)</f>
        <v>-98.583299999999994</v>
      </c>
      <c r="U36">
        <f t="shared" ca="1" si="8"/>
        <v>4</v>
      </c>
      <c r="V36" t="str">
        <f ca="1">VLOOKUP('Master Sheet'!E36,'Code Options'!$A$1:$R$7,10)</f>
        <v>Disposal</v>
      </c>
      <c r="W36">
        <f t="shared" ca="1" si="9"/>
        <v>2</v>
      </c>
      <c r="X36" t="str">
        <f ca="1">VLOOKUP('Master Sheet'!E36,'Code Options'!$A$1:$R$7,11)</f>
        <v>Comm_Fish</v>
      </c>
      <c r="Y36">
        <f t="shared" ca="1" si="10"/>
        <v>4</v>
      </c>
      <c r="Z36" t="str">
        <f ca="1">VLOOKUP('Master Sheet'!E36,'Code Options'!$A$1:$R$7,12)</f>
        <v>AS_constructors</v>
      </c>
    </row>
    <row r="37" spans="1:26" x14ac:dyDescent="0.2">
      <c r="A37">
        <f t="shared" ca="1" si="0"/>
        <v>6</v>
      </c>
      <c r="B37" t="str">
        <f ca="1">VLOOKUP('Master Sheet'!A37,'Code Options'!$A$1:$B$7,2)</f>
        <v>Tires/Rubber</v>
      </c>
      <c r="C37">
        <f t="shared" ca="1" si="1"/>
        <v>3</v>
      </c>
      <c r="D37" t="str">
        <f ca="1">VLOOKUP('Master Sheet'!C37,'Code Options'!$A$1:$R$7,3)</f>
        <v>Unsure</v>
      </c>
      <c r="E37">
        <f t="shared" ca="1" si="2"/>
        <v>5</v>
      </c>
      <c r="F37" t="str">
        <f ca="1">VLOOKUP('Master Sheet'!E37,'Code Options'!$A$1:$R$7,4)</f>
        <v>Nick</v>
      </c>
      <c r="G37">
        <f t="shared" ca="1" si="3"/>
        <v>3</v>
      </c>
      <c r="H37">
        <f ca="1">VLOOKUP('Master Sheet'!E37,'Code Options'!$A$1:$R$7,5)</f>
        <v>0</v>
      </c>
      <c r="I37">
        <f t="shared" ca="1" si="4"/>
        <v>4</v>
      </c>
      <c r="J37" t="str">
        <f ca="1">VLOOKUP('Master Sheet'!G37,'Code Options'!$A$1:$R$7,6)</f>
        <v>Regional</v>
      </c>
      <c r="K37">
        <f t="shared" ca="1" si="5"/>
        <v>3</v>
      </c>
      <c r="L37" t="str">
        <f ca="1">VLOOKUP('Master Sheet'!I37,'Code Options'!$A$1:$R$7,7)</f>
        <v>Biodiversity</v>
      </c>
      <c r="M37">
        <f t="shared" ca="1" si="6"/>
        <v>5</v>
      </c>
      <c r="N37" t="str">
        <f ca="1">VLOOKUP('Master Sheet'!K37,'Code Options'!$A$1:$R$7,8)</f>
        <v>Rec.Fish.Mngmt</v>
      </c>
      <c r="O37">
        <f t="shared" ca="1" si="7"/>
        <v>4</v>
      </c>
      <c r="P37" t="str">
        <f ca="1">VLOOKUP('Master Sheet'!E37,'Code Options'!$A$1:$R$7,9)</f>
        <v>Guide</v>
      </c>
      <c r="Q37" cm="1">
        <f t="array" aca="1" ref="Q37" ca="1">_xlfn.IFS(P37 ="State_Plan", RANDBETWEEN(1,23), P37 ="State_Code", RANDBETWEEN(1,23), P37 = "Fed_Code", 99, P37 = "Summ_Article", 999, P37 = "Guide", 999)</f>
        <v>999</v>
      </c>
      <c r="R37" t="str">
        <f ca="1">VLOOKUP(Q37,'States and Locations'!$A$1:$B$26,2)</f>
        <v>UNK</v>
      </c>
      <c r="S37">
        <f ca="1">VLOOKUP(Q37,'States and Locations'!$A$1:$D$26,3)</f>
        <v>25</v>
      </c>
      <c r="T37">
        <f ca="1">VLOOKUP(Q37,'States and Locations'!$A$1:$D$26,4)</f>
        <v>-90</v>
      </c>
      <c r="U37">
        <f t="shared" ca="1" si="8"/>
        <v>1</v>
      </c>
      <c r="V37" t="str">
        <f ca="1">VLOOKUP('Master Sheet'!E37,'Code Options'!$A$1:$R$7,10)</f>
        <v>Wave_attenuation</v>
      </c>
      <c r="W37">
        <f t="shared" ca="1" si="9"/>
        <v>4</v>
      </c>
      <c r="X37" t="str">
        <f ca="1">VLOOKUP('Master Sheet'!E37,'Code Options'!$A$1:$R$7,11)</f>
        <v>Scuba</v>
      </c>
      <c r="Y37">
        <f t="shared" ca="1" si="10"/>
        <v>3</v>
      </c>
      <c r="Z37" t="str">
        <f ca="1">VLOOKUP('Master Sheet'!E37,'Code Options'!$A$1:$R$7,12)</f>
        <v>anglers</v>
      </c>
    </row>
    <row r="38" spans="1:26" x14ac:dyDescent="0.2">
      <c r="A38">
        <f t="shared" ca="1" si="0"/>
        <v>1</v>
      </c>
      <c r="B38" t="str">
        <f ca="1">VLOOKUP('Master Sheet'!A38,'Code Options'!$A$1:$B$7,2)</f>
        <v>Composite</v>
      </c>
      <c r="C38">
        <f t="shared" ca="1" si="1"/>
        <v>2</v>
      </c>
      <c r="D38" t="str">
        <f ca="1">VLOOKUP('Master Sheet'!C38,'Code Options'!$A$1:$R$7,3)</f>
        <v>Pro</v>
      </c>
      <c r="E38">
        <f t="shared" ca="1" si="2"/>
        <v>1</v>
      </c>
      <c r="F38" t="str">
        <f ca="1">VLOOKUP('Master Sheet'!E38,'Code Options'!$A$1:$R$7,4)</f>
        <v>Will</v>
      </c>
      <c r="G38">
        <f t="shared" ca="1" si="3"/>
        <v>2</v>
      </c>
      <c r="H38" t="str">
        <f ca="1">VLOOKUP('Master Sheet'!E38,'Code Options'!$A$1:$R$7,5)</f>
        <v>Will</v>
      </c>
      <c r="I38">
        <f t="shared" ca="1" si="4"/>
        <v>2</v>
      </c>
      <c r="J38" t="str">
        <f ca="1">VLOOKUP('Master Sheet'!G38,'Code Options'!$A$1:$R$7,6)</f>
        <v>State</v>
      </c>
      <c r="K38">
        <f t="shared" ca="1" si="5"/>
        <v>3</v>
      </c>
      <c r="L38" t="str">
        <f ca="1">VLOOKUP('Master Sheet'!I38,'Code Options'!$A$1:$R$7,7)</f>
        <v>Production</v>
      </c>
      <c r="M38">
        <f t="shared" ca="1" si="6"/>
        <v>2</v>
      </c>
      <c r="N38" t="str">
        <f ca="1">VLOOKUP('Master Sheet'!K38,'Code Options'!$A$1:$R$7,8)</f>
        <v>Rec.Fish.Mngmt</v>
      </c>
      <c r="O38">
        <f t="shared" ca="1" si="7"/>
        <v>4</v>
      </c>
      <c r="P38" t="str">
        <f ca="1">VLOOKUP('Master Sheet'!E38,'Code Options'!$A$1:$R$7,9)</f>
        <v>State_Code</v>
      </c>
      <c r="Q38" cm="1">
        <f t="array" aca="1" ref="Q38" ca="1">_xlfn.IFS(P38 ="State_Plan", RANDBETWEEN(1,23), P38 ="State_Code", RANDBETWEEN(1,23), P38 = "Fed_Code", 99, P38 = "Summ_Article", 999, P38 = "Guide", 999)</f>
        <v>13</v>
      </c>
      <c r="R38" t="str">
        <f ca="1">VLOOKUP(Q38,'States and Locations'!$A$1:$B$26,2)</f>
        <v>Georgia</v>
      </c>
      <c r="S38">
        <f ca="1">VLOOKUP(Q38,'States and Locations'!$A$1:$D$26,3)</f>
        <v>32.716700000000003</v>
      </c>
      <c r="T38">
        <f ca="1">VLOOKUP(Q38,'States and Locations'!$A$1:$D$26,4)</f>
        <v>-83.5</v>
      </c>
      <c r="U38">
        <f t="shared" ca="1" si="8"/>
        <v>1</v>
      </c>
      <c r="V38" t="str">
        <f ca="1">VLOOKUP('Master Sheet'!E38,'Code Options'!$A$1:$R$7,10)</f>
        <v>Hab_enhancement</v>
      </c>
      <c r="W38">
        <f t="shared" ca="1" si="9"/>
        <v>1</v>
      </c>
      <c r="X38" t="str">
        <f ca="1">VLOOKUP('Master Sheet'!E38,'Code Options'!$A$1:$R$7,11)</f>
        <v>Rec_Fish</v>
      </c>
      <c r="Y38">
        <f t="shared" ca="1" si="10"/>
        <v>1</v>
      </c>
      <c r="Z38" t="str">
        <f ca="1">VLOOKUP('Master Sheet'!E38,'Code Options'!$A$1:$R$7,12)</f>
        <v>AR_proj_plan_mngrs</v>
      </c>
    </row>
    <row r="39" spans="1:26" x14ac:dyDescent="0.2">
      <c r="A39">
        <f t="shared" ca="1" si="0"/>
        <v>5</v>
      </c>
      <c r="B39" t="str">
        <f ca="1">VLOOKUP('Master Sheet'!A39,'Code Options'!$A$1:$B$7,2)</f>
        <v>Rock</v>
      </c>
      <c r="C39">
        <f t="shared" ca="1" si="1"/>
        <v>2</v>
      </c>
      <c r="D39" t="str">
        <f ca="1">VLOOKUP('Master Sheet'!C39,'Code Options'!$A$1:$R$7,3)</f>
        <v>Pro</v>
      </c>
      <c r="E39">
        <f t="shared" ca="1" si="2"/>
        <v>2</v>
      </c>
      <c r="F39" t="str">
        <f ca="1">VLOOKUP('Master Sheet'!E39,'Code Options'!$A$1:$R$7,4)</f>
        <v>Cyndi</v>
      </c>
      <c r="G39">
        <f t="shared" ca="1" si="3"/>
        <v>1</v>
      </c>
      <c r="H39" t="str">
        <f ca="1">VLOOKUP('Master Sheet'!E39,'Code Options'!$A$1:$R$7,5)</f>
        <v>Cyndi</v>
      </c>
      <c r="I39">
        <f t="shared" ca="1" si="4"/>
        <v>2</v>
      </c>
      <c r="J39" t="str">
        <f ca="1">VLOOKUP('Master Sheet'!G39,'Code Options'!$A$1:$R$7,6)</f>
        <v>County/Local</v>
      </c>
      <c r="K39">
        <f t="shared" ca="1" si="5"/>
        <v>1</v>
      </c>
      <c r="L39" t="str">
        <f ca="1">VLOOKUP('Master Sheet'!I39,'Code Options'!$A$1:$R$7,7)</f>
        <v>Production</v>
      </c>
      <c r="M39">
        <f t="shared" ca="1" si="6"/>
        <v>3</v>
      </c>
      <c r="N39" t="str">
        <f ca="1">VLOOKUP('Master Sheet'!K39,'Code Options'!$A$1:$R$7,8)</f>
        <v>Fish.Enhancement</v>
      </c>
      <c r="O39">
        <f t="shared" ca="1" si="7"/>
        <v>5</v>
      </c>
      <c r="P39" t="str">
        <f ca="1">VLOOKUP('Master Sheet'!E39,'Code Options'!$A$1:$R$7,9)</f>
        <v>Fed_Code</v>
      </c>
      <c r="Q39" cm="1">
        <f t="array" aca="1" ref="Q39" ca="1">_xlfn.IFS(P39 ="State_Plan", RANDBETWEEN(1,23), P39 ="State_Code", RANDBETWEEN(1,23), P39 = "Fed_Code", 99, P39 = "Summ_Article", 999, P39 = "Guide", 999)</f>
        <v>99</v>
      </c>
      <c r="R39" t="str">
        <f ca="1">VLOOKUP(Q39,'States and Locations'!$A$1:$B$26,2)</f>
        <v>National</v>
      </c>
      <c r="S39">
        <f ca="1">VLOOKUP(Q39,'States and Locations'!$A$1:$D$26,3)</f>
        <v>39.833300000000001</v>
      </c>
      <c r="T39">
        <f ca="1">VLOOKUP(Q39,'States and Locations'!$A$1:$D$26,4)</f>
        <v>-98.583299999999994</v>
      </c>
      <c r="U39">
        <f t="shared" ca="1" si="8"/>
        <v>3</v>
      </c>
      <c r="V39" t="str">
        <f ca="1">VLOOKUP('Master Sheet'!E39,'Code Options'!$A$1:$R$7,10)</f>
        <v>Disposal</v>
      </c>
      <c r="W39">
        <f t="shared" ca="1" si="9"/>
        <v>1</v>
      </c>
      <c r="X39" t="str">
        <f ca="1">VLOOKUP('Master Sheet'!E39,'Code Options'!$A$1:$R$7,11)</f>
        <v>Comm_Fish</v>
      </c>
      <c r="Y39">
        <f t="shared" ca="1" si="10"/>
        <v>2</v>
      </c>
      <c r="Z39" t="str">
        <f ca="1">VLOOKUP('Master Sheet'!E39,'Code Options'!$A$1:$R$7,12)</f>
        <v>AS_constructors</v>
      </c>
    </row>
    <row r="40" spans="1:26" x14ac:dyDescent="0.2">
      <c r="A40">
        <f t="shared" ca="1" si="0"/>
        <v>2</v>
      </c>
      <c r="B40" t="str">
        <f ca="1">VLOOKUP('Master Sheet'!A40,'Code Options'!$A$1:$B$7,2)</f>
        <v>Concrete</v>
      </c>
      <c r="C40">
        <f t="shared" ca="1" si="1"/>
        <v>2</v>
      </c>
      <c r="D40" t="str">
        <f ca="1">VLOOKUP('Master Sheet'!C40,'Code Options'!$A$1:$R$7,3)</f>
        <v>Pro</v>
      </c>
      <c r="E40">
        <f t="shared" ca="1" si="2"/>
        <v>5</v>
      </c>
      <c r="F40" t="str">
        <f ca="1">VLOOKUP('Master Sheet'!E40,'Code Options'!$A$1:$R$7,4)</f>
        <v>Nick</v>
      </c>
      <c r="G40">
        <f t="shared" ca="1" si="3"/>
        <v>2</v>
      </c>
      <c r="H40">
        <f ca="1">VLOOKUP('Master Sheet'!E40,'Code Options'!$A$1:$R$7,5)</f>
        <v>0</v>
      </c>
      <c r="I40">
        <f t="shared" ca="1" si="4"/>
        <v>4</v>
      </c>
      <c r="J40" t="str">
        <f ca="1">VLOOKUP('Master Sheet'!G40,'Code Options'!$A$1:$R$7,6)</f>
        <v>State</v>
      </c>
      <c r="K40">
        <f t="shared" ca="1" si="5"/>
        <v>3</v>
      </c>
      <c r="L40" t="str">
        <f ca="1">VLOOKUP('Master Sheet'!I40,'Code Options'!$A$1:$R$7,7)</f>
        <v>Biodiversity</v>
      </c>
      <c r="M40">
        <f t="shared" ca="1" si="6"/>
        <v>2</v>
      </c>
      <c r="N40" t="str">
        <f ca="1">VLOOKUP('Master Sheet'!K40,'Code Options'!$A$1:$R$7,8)</f>
        <v>Rec.Fish.Mngmt</v>
      </c>
      <c r="O40">
        <f t="shared" ca="1" si="7"/>
        <v>3</v>
      </c>
      <c r="P40" t="str">
        <f ca="1">VLOOKUP('Master Sheet'!E40,'Code Options'!$A$1:$R$7,9)</f>
        <v>Guide</v>
      </c>
      <c r="Q40" cm="1">
        <f t="array" aca="1" ref="Q40" ca="1">_xlfn.IFS(P40 ="State_Plan", RANDBETWEEN(1,23), P40 ="State_Code", RANDBETWEEN(1,23), P40 = "Fed_Code", 99, P40 = "Summ_Article", 999, P40 = "Guide", 999)</f>
        <v>999</v>
      </c>
      <c r="R40" t="str">
        <f ca="1">VLOOKUP(Q40,'States and Locations'!$A$1:$B$26,2)</f>
        <v>UNK</v>
      </c>
      <c r="S40">
        <f ca="1">VLOOKUP(Q40,'States and Locations'!$A$1:$D$26,3)</f>
        <v>25</v>
      </c>
      <c r="T40">
        <f ca="1">VLOOKUP(Q40,'States and Locations'!$A$1:$D$26,4)</f>
        <v>-90</v>
      </c>
      <c r="U40">
        <f t="shared" ca="1" si="8"/>
        <v>2</v>
      </c>
      <c r="V40" t="str">
        <f ca="1">VLOOKUP('Master Sheet'!E40,'Code Options'!$A$1:$R$7,10)</f>
        <v>Wave_attenuation</v>
      </c>
      <c r="W40">
        <f t="shared" ca="1" si="9"/>
        <v>4</v>
      </c>
      <c r="X40" t="str">
        <f ca="1">VLOOKUP('Master Sheet'!E40,'Code Options'!$A$1:$R$7,11)</f>
        <v>Scuba</v>
      </c>
      <c r="Y40">
        <f t="shared" ca="1" si="10"/>
        <v>3</v>
      </c>
      <c r="Z40" t="str">
        <f ca="1">VLOOKUP('Master Sheet'!E40,'Code Options'!$A$1:$R$7,12)</f>
        <v>anglers</v>
      </c>
    </row>
    <row r="41" spans="1:26" x14ac:dyDescent="0.2">
      <c r="A41">
        <f t="shared" ca="1" si="0"/>
        <v>6</v>
      </c>
      <c r="B41" t="str">
        <f ca="1">VLOOKUP('Master Sheet'!A41,'Code Options'!$A$1:$B$7,2)</f>
        <v>Tires/Rubber</v>
      </c>
      <c r="C41">
        <f t="shared" ca="1" si="1"/>
        <v>2</v>
      </c>
      <c r="D41" t="str">
        <f ca="1">VLOOKUP('Master Sheet'!C41,'Code Options'!$A$1:$R$7,3)</f>
        <v>Pro</v>
      </c>
      <c r="E41">
        <f t="shared" ca="1" si="2"/>
        <v>4</v>
      </c>
      <c r="F41" t="str">
        <f ca="1">VLOOKUP('Master Sheet'!E41,'Code Options'!$A$1:$R$7,4)</f>
        <v>LM</v>
      </c>
      <c r="G41">
        <f t="shared" ca="1" si="3"/>
        <v>3</v>
      </c>
      <c r="H41">
        <f ca="1">VLOOKUP('Master Sheet'!E41,'Code Options'!$A$1:$R$7,5)</f>
        <v>0</v>
      </c>
      <c r="I41">
        <f t="shared" ca="1" si="4"/>
        <v>4</v>
      </c>
      <c r="J41" t="str">
        <f ca="1">VLOOKUP('Master Sheet'!G41,'Code Options'!$A$1:$R$7,6)</f>
        <v>Regional</v>
      </c>
      <c r="K41">
        <f t="shared" ca="1" si="5"/>
        <v>2</v>
      </c>
      <c r="L41" t="str">
        <f ca="1">VLOOKUP('Master Sheet'!I41,'Code Options'!$A$1:$R$7,7)</f>
        <v>Biodiversity</v>
      </c>
      <c r="M41">
        <f t="shared" ca="1" si="6"/>
        <v>5</v>
      </c>
      <c r="N41" t="str">
        <f ca="1">VLOOKUP('Master Sheet'!K41,'Code Options'!$A$1:$R$7,8)</f>
        <v>Comm.Fish.Mngmt</v>
      </c>
      <c r="O41">
        <f t="shared" ca="1" si="7"/>
        <v>5</v>
      </c>
      <c r="P41" t="str">
        <f ca="1">VLOOKUP('Master Sheet'!E41,'Code Options'!$A$1:$R$7,9)</f>
        <v>Summ_Article</v>
      </c>
      <c r="Q41" cm="1">
        <f t="array" aca="1" ref="Q41" ca="1">_xlfn.IFS(P41 ="State_Plan", RANDBETWEEN(1,23), P41 ="State_Code", RANDBETWEEN(1,23), P41 = "Fed_Code", 99, P41 = "Summ_Article", 999, P41 = "Guide", 999)</f>
        <v>999</v>
      </c>
      <c r="R41" t="str">
        <f ca="1">VLOOKUP(Q41,'States and Locations'!$A$1:$B$26,2)</f>
        <v>UNK</v>
      </c>
      <c r="S41">
        <f ca="1">VLOOKUP(Q41,'States and Locations'!$A$1:$D$26,3)</f>
        <v>25</v>
      </c>
      <c r="T41">
        <f ca="1">VLOOKUP(Q41,'States and Locations'!$A$1:$D$26,4)</f>
        <v>-90</v>
      </c>
      <c r="U41">
        <f t="shared" ca="1" si="8"/>
        <v>5</v>
      </c>
      <c r="V41" t="str">
        <f ca="1">VLOOKUP('Master Sheet'!E41,'Code Options'!$A$1:$R$7,10)</f>
        <v>Hab_restoration</v>
      </c>
      <c r="W41">
        <f t="shared" ca="1" si="9"/>
        <v>3</v>
      </c>
      <c r="X41" t="str">
        <f ca="1">VLOOKUP('Master Sheet'!E41,'Code Options'!$A$1:$R$7,11)</f>
        <v>Non-Fish_rec</v>
      </c>
      <c r="Y41">
        <f t="shared" ca="1" si="10"/>
        <v>1</v>
      </c>
      <c r="Z41" t="str">
        <f ca="1">VLOOKUP('Master Sheet'!E41,'Code Options'!$A$1:$R$7,12)</f>
        <v>people_interested</v>
      </c>
    </row>
    <row r="42" spans="1:26" x14ac:dyDescent="0.2">
      <c r="A42">
        <f t="shared" ca="1" si="0"/>
        <v>2</v>
      </c>
      <c r="B42" t="str">
        <f ca="1">VLOOKUP('Master Sheet'!A42,'Code Options'!$A$1:$B$7,2)</f>
        <v>Concrete</v>
      </c>
      <c r="C42">
        <f t="shared" ca="1" si="1"/>
        <v>2</v>
      </c>
      <c r="D42" t="str">
        <f ca="1">VLOOKUP('Master Sheet'!C42,'Code Options'!$A$1:$R$7,3)</f>
        <v>Pro</v>
      </c>
      <c r="E42">
        <f t="shared" ca="1" si="2"/>
        <v>1</v>
      </c>
      <c r="F42" t="str">
        <f ca="1">VLOOKUP('Master Sheet'!E42,'Code Options'!$A$1:$R$7,4)</f>
        <v>Will</v>
      </c>
      <c r="G42">
        <f t="shared" ca="1" si="3"/>
        <v>2</v>
      </c>
      <c r="H42" t="str">
        <f ca="1">VLOOKUP('Master Sheet'!E42,'Code Options'!$A$1:$R$7,5)</f>
        <v>Will</v>
      </c>
      <c r="I42">
        <f t="shared" ca="1" si="4"/>
        <v>3</v>
      </c>
      <c r="J42" t="str">
        <f ca="1">VLOOKUP('Master Sheet'!G42,'Code Options'!$A$1:$R$7,6)</f>
        <v>State</v>
      </c>
      <c r="K42">
        <f t="shared" ca="1" si="5"/>
        <v>1</v>
      </c>
      <c r="L42" t="str">
        <f ca="1">VLOOKUP('Master Sheet'!I42,'Code Options'!$A$1:$R$7,7)</f>
        <v>Aggregation</v>
      </c>
      <c r="M42">
        <f t="shared" ca="1" si="6"/>
        <v>3</v>
      </c>
      <c r="N42" t="str">
        <f ca="1">VLOOKUP('Master Sheet'!K42,'Code Options'!$A$1:$R$7,8)</f>
        <v>Fish.Enhancement</v>
      </c>
      <c r="O42">
        <f t="shared" ca="1" si="7"/>
        <v>5</v>
      </c>
      <c r="P42" t="str">
        <f ca="1">VLOOKUP('Master Sheet'!E42,'Code Options'!$A$1:$R$7,9)</f>
        <v>State_Code</v>
      </c>
      <c r="Q42" cm="1">
        <f t="array" aca="1" ref="Q42" ca="1">_xlfn.IFS(P42 ="State_Plan", RANDBETWEEN(1,23), P42 ="State_Code", RANDBETWEEN(1,23), P42 = "Fed_Code", 99, P42 = "Summ_Article", 999, P42 = "Guide", 999)</f>
        <v>8</v>
      </c>
      <c r="R42" t="str">
        <f ca="1">VLOOKUP(Q42,'States and Locations'!$A$1:$B$26,2)</f>
        <v>Delaware</v>
      </c>
      <c r="S42">
        <f ca="1">VLOOKUP(Q42,'States and Locations'!$A$1:$D$26,3)</f>
        <v>38.9833</v>
      </c>
      <c r="T42">
        <f ca="1">VLOOKUP(Q42,'States and Locations'!$A$1:$D$26,4)</f>
        <v>-75.5167</v>
      </c>
      <c r="U42">
        <f t="shared" ca="1" si="8"/>
        <v>3</v>
      </c>
      <c r="V42" t="str">
        <f ca="1">VLOOKUP('Master Sheet'!E42,'Code Options'!$A$1:$R$7,10)</f>
        <v>Hab_enhancement</v>
      </c>
      <c r="W42">
        <f t="shared" ca="1" si="9"/>
        <v>1</v>
      </c>
      <c r="X42" t="str">
        <f ca="1">VLOOKUP('Master Sheet'!E42,'Code Options'!$A$1:$R$7,11)</f>
        <v>Rec_Fish</v>
      </c>
      <c r="Y42">
        <f t="shared" ca="1" si="10"/>
        <v>4</v>
      </c>
      <c r="Z42" t="str">
        <f ca="1">VLOOKUP('Master Sheet'!E42,'Code Options'!$A$1:$R$7,12)</f>
        <v>AR_proj_plan_mngrs</v>
      </c>
    </row>
    <row r="43" spans="1:26" x14ac:dyDescent="0.2">
      <c r="A43">
        <f t="shared" ca="1" si="0"/>
        <v>6</v>
      </c>
      <c r="B43" t="str">
        <f ca="1">VLOOKUP('Master Sheet'!A43,'Code Options'!$A$1:$B$7,2)</f>
        <v>Tires/Rubber</v>
      </c>
      <c r="C43">
        <f t="shared" ca="1" si="1"/>
        <v>2</v>
      </c>
      <c r="D43" t="str">
        <f ca="1">VLOOKUP('Master Sheet'!C43,'Code Options'!$A$1:$R$7,3)</f>
        <v>Pro</v>
      </c>
      <c r="E43">
        <f t="shared" ca="1" si="2"/>
        <v>4</v>
      </c>
      <c r="F43" t="str">
        <f ca="1">VLOOKUP('Master Sheet'!E43,'Code Options'!$A$1:$R$7,4)</f>
        <v>LM</v>
      </c>
      <c r="G43">
        <f t="shared" ca="1" si="3"/>
        <v>1</v>
      </c>
      <c r="H43">
        <f ca="1">VLOOKUP('Master Sheet'!E43,'Code Options'!$A$1:$R$7,5)</f>
        <v>0</v>
      </c>
      <c r="I43">
        <f t="shared" ca="1" si="4"/>
        <v>4</v>
      </c>
      <c r="J43" t="str">
        <f ca="1">VLOOKUP('Master Sheet'!G43,'Code Options'!$A$1:$R$7,6)</f>
        <v>County/Local</v>
      </c>
      <c r="K43">
        <f t="shared" ca="1" si="5"/>
        <v>3</v>
      </c>
      <c r="L43" t="str">
        <f ca="1">VLOOKUP('Master Sheet'!I43,'Code Options'!$A$1:$R$7,7)</f>
        <v>Biodiversity</v>
      </c>
      <c r="M43">
        <f t="shared" ca="1" si="6"/>
        <v>4</v>
      </c>
      <c r="N43" t="str">
        <f ca="1">VLOOKUP('Master Sheet'!K43,'Code Options'!$A$1:$R$7,8)</f>
        <v>Rec.Fish.Mngmt</v>
      </c>
      <c r="O43">
        <f t="shared" ca="1" si="7"/>
        <v>1</v>
      </c>
      <c r="P43" t="str">
        <f ca="1">VLOOKUP('Master Sheet'!E43,'Code Options'!$A$1:$R$7,9)</f>
        <v>Summ_Article</v>
      </c>
      <c r="Q43" cm="1">
        <f t="array" aca="1" ref="Q43" ca="1">_xlfn.IFS(P43 ="State_Plan", RANDBETWEEN(1,23), P43 ="State_Code", RANDBETWEEN(1,23), P43 = "Fed_Code", 99, P43 = "Summ_Article", 999, P43 = "Guide", 999)</f>
        <v>999</v>
      </c>
      <c r="R43" t="str">
        <f ca="1">VLOOKUP(Q43,'States and Locations'!$A$1:$B$26,2)</f>
        <v>UNK</v>
      </c>
      <c r="S43">
        <f ca="1">VLOOKUP(Q43,'States and Locations'!$A$1:$D$26,3)</f>
        <v>25</v>
      </c>
      <c r="T43">
        <f ca="1">VLOOKUP(Q43,'States and Locations'!$A$1:$D$26,4)</f>
        <v>-90</v>
      </c>
      <c r="U43">
        <f t="shared" ca="1" si="8"/>
        <v>1</v>
      </c>
      <c r="V43" t="str">
        <f ca="1">VLOOKUP('Master Sheet'!E43,'Code Options'!$A$1:$R$7,10)</f>
        <v>Hab_restoration</v>
      </c>
      <c r="W43">
        <f t="shared" ca="1" si="9"/>
        <v>3</v>
      </c>
      <c r="X43" t="str">
        <f ca="1">VLOOKUP('Master Sheet'!E43,'Code Options'!$A$1:$R$7,11)</f>
        <v>Non-Fish_rec</v>
      </c>
      <c r="Y43">
        <f t="shared" ca="1" si="10"/>
        <v>1</v>
      </c>
      <c r="Z43" t="str">
        <f ca="1">VLOOKUP('Master Sheet'!E43,'Code Options'!$A$1:$R$7,12)</f>
        <v>people_interested</v>
      </c>
    </row>
    <row r="44" spans="1:26" x14ac:dyDescent="0.2">
      <c r="A44">
        <f t="shared" ca="1" si="0"/>
        <v>3</v>
      </c>
      <c r="B44" t="str">
        <f ca="1">VLOOKUP('Master Sheet'!A44,'Code Options'!$A$1:$B$7,2)</f>
        <v>Metal</v>
      </c>
      <c r="C44">
        <f t="shared" ca="1" si="1"/>
        <v>3</v>
      </c>
      <c r="D44" t="str">
        <f ca="1">VLOOKUP('Master Sheet'!C44,'Code Options'!$A$1:$R$7,3)</f>
        <v>Unsure</v>
      </c>
      <c r="E44">
        <f t="shared" ca="1" si="2"/>
        <v>2</v>
      </c>
      <c r="F44" t="str">
        <f ca="1">VLOOKUP('Master Sheet'!E44,'Code Options'!$A$1:$R$7,4)</f>
        <v>Cyndi</v>
      </c>
      <c r="G44">
        <f t="shared" ca="1" si="3"/>
        <v>1</v>
      </c>
      <c r="H44" t="str">
        <f ca="1">VLOOKUP('Master Sheet'!E44,'Code Options'!$A$1:$R$7,5)</f>
        <v>Cyndi</v>
      </c>
      <c r="I44">
        <f t="shared" ca="1" si="4"/>
        <v>2</v>
      </c>
      <c r="J44" t="str">
        <f ca="1">VLOOKUP('Master Sheet'!G44,'Code Options'!$A$1:$R$7,6)</f>
        <v>County/Local</v>
      </c>
      <c r="K44">
        <f t="shared" ca="1" si="5"/>
        <v>1</v>
      </c>
      <c r="L44" t="str">
        <f ca="1">VLOOKUP('Master Sheet'!I44,'Code Options'!$A$1:$R$7,7)</f>
        <v>Production</v>
      </c>
      <c r="M44">
        <f t="shared" ca="1" si="6"/>
        <v>2</v>
      </c>
      <c r="N44" t="str">
        <f ca="1">VLOOKUP('Master Sheet'!K44,'Code Options'!$A$1:$R$7,8)</f>
        <v>Fish.Enhancement</v>
      </c>
      <c r="O44">
        <f t="shared" ca="1" si="7"/>
        <v>1</v>
      </c>
      <c r="P44" t="str">
        <f ca="1">VLOOKUP('Master Sheet'!E44,'Code Options'!$A$1:$R$7,9)</f>
        <v>Fed_Code</v>
      </c>
      <c r="Q44" cm="1">
        <f t="array" aca="1" ref="Q44" ca="1">_xlfn.IFS(P44 ="State_Plan", RANDBETWEEN(1,23), P44 ="State_Code", RANDBETWEEN(1,23), P44 = "Fed_Code", 99, P44 = "Summ_Article", 999, P44 = "Guide", 999)</f>
        <v>99</v>
      </c>
      <c r="R44" t="str">
        <f ca="1">VLOOKUP(Q44,'States and Locations'!$A$1:$B$26,2)</f>
        <v>National</v>
      </c>
      <c r="S44">
        <f ca="1">VLOOKUP(Q44,'States and Locations'!$A$1:$D$26,3)</f>
        <v>39.833300000000001</v>
      </c>
      <c r="T44">
        <f ca="1">VLOOKUP(Q44,'States and Locations'!$A$1:$D$26,4)</f>
        <v>-98.583299999999994</v>
      </c>
      <c r="U44">
        <f t="shared" ca="1" si="8"/>
        <v>3</v>
      </c>
      <c r="V44" t="str">
        <f ca="1">VLOOKUP('Master Sheet'!E44,'Code Options'!$A$1:$R$7,10)</f>
        <v>Disposal</v>
      </c>
      <c r="W44">
        <f t="shared" ca="1" si="9"/>
        <v>4</v>
      </c>
      <c r="X44" t="str">
        <f ca="1">VLOOKUP('Master Sheet'!E44,'Code Options'!$A$1:$R$7,11)</f>
        <v>Comm_Fish</v>
      </c>
      <c r="Y44">
        <f t="shared" ca="1" si="10"/>
        <v>1</v>
      </c>
      <c r="Z44" t="str">
        <f ca="1">VLOOKUP('Master Sheet'!E44,'Code Options'!$A$1:$R$7,12)</f>
        <v>AS_constructors</v>
      </c>
    </row>
    <row r="45" spans="1:26" x14ac:dyDescent="0.2">
      <c r="A45">
        <f t="shared" ca="1" si="0"/>
        <v>5</v>
      </c>
      <c r="B45" t="str">
        <f ca="1">VLOOKUP('Master Sheet'!A45,'Code Options'!$A$1:$B$7,2)</f>
        <v>Rock</v>
      </c>
      <c r="C45">
        <f t="shared" ca="1" si="1"/>
        <v>1</v>
      </c>
      <c r="D45" t="str">
        <f ca="1">VLOOKUP('Master Sheet'!C45,'Code Options'!$A$1:$R$7,3)</f>
        <v>Retro</v>
      </c>
      <c r="E45">
        <f t="shared" ca="1" si="2"/>
        <v>5</v>
      </c>
      <c r="F45" t="str">
        <f ca="1">VLOOKUP('Master Sheet'!E45,'Code Options'!$A$1:$R$7,4)</f>
        <v>Nick</v>
      </c>
      <c r="G45">
        <f t="shared" ca="1" si="3"/>
        <v>3</v>
      </c>
      <c r="H45">
        <f ca="1">VLOOKUP('Master Sheet'!E45,'Code Options'!$A$1:$R$7,5)</f>
        <v>0</v>
      </c>
      <c r="I45">
        <f t="shared" ca="1" si="4"/>
        <v>2</v>
      </c>
      <c r="J45" t="str">
        <f ca="1">VLOOKUP('Master Sheet'!G45,'Code Options'!$A$1:$R$7,6)</f>
        <v>Regional</v>
      </c>
      <c r="K45">
        <f t="shared" ca="1" si="5"/>
        <v>4</v>
      </c>
      <c r="L45" t="str">
        <f ca="1">VLOOKUP('Master Sheet'!I45,'Code Options'!$A$1:$R$7,7)</f>
        <v>Production</v>
      </c>
      <c r="M45">
        <f t="shared" ca="1" si="6"/>
        <v>3</v>
      </c>
      <c r="N45" t="str">
        <f ca="1">VLOOKUP('Master Sheet'!K45,'Code Options'!$A$1:$R$7,8)</f>
        <v>Creation of AR Mat</v>
      </c>
      <c r="O45">
        <f t="shared" ca="1" si="7"/>
        <v>2</v>
      </c>
      <c r="P45" t="str">
        <f ca="1">VLOOKUP('Master Sheet'!E45,'Code Options'!$A$1:$R$7,9)</f>
        <v>Guide</v>
      </c>
      <c r="Q45" cm="1">
        <f t="array" aca="1" ref="Q45" ca="1">_xlfn.IFS(P45 ="State_Plan", RANDBETWEEN(1,23), P45 ="State_Code", RANDBETWEEN(1,23), P45 = "Fed_Code", 99, P45 = "Summ_Article", 999, P45 = "Guide", 999)</f>
        <v>999</v>
      </c>
      <c r="R45" t="str">
        <f ca="1">VLOOKUP(Q45,'States and Locations'!$A$1:$B$26,2)</f>
        <v>UNK</v>
      </c>
      <c r="S45">
        <f ca="1">VLOOKUP(Q45,'States and Locations'!$A$1:$D$26,3)</f>
        <v>25</v>
      </c>
      <c r="T45">
        <f ca="1">VLOOKUP(Q45,'States and Locations'!$A$1:$D$26,4)</f>
        <v>-90</v>
      </c>
      <c r="U45">
        <f t="shared" ca="1" si="8"/>
        <v>2</v>
      </c>
      <c r="V45" t="str">
        <f ca="1">VLOOKUP('Master Sheet'!E45,'Code Options'!$A$1:$R$7,10)</f>
        <v>Wave_attenuation</v>
      </c>
      <c r="W45">
        <f t="shared" ca="1" si="9"/>
        <v>3</v>
      </c>
      <c r="X45" t="str">
        <f ca="1">VLOOKUP('Master Sheet'!E45,'Code Options'!$A$1:$R$7,11)</f>
        <v>Scuba</v>
      </c>
      <c r="Y45">
        <f t="shared" ca="1" si="10"/>
        <v>3</v>
      </c>
      <c r="Z45" t="str">
        <f ca="1">VLOOKUP('Master Sheet'!E45,'Code Options'!$A$1:$R$7,12)</f>
        <v>anglers</v>
      </c>
    </row>
    <row r="46" spans="1:26" x14ac:dyDescent="0.2">
      <c r="A46">
        <f t="shared" ca="1" si="0"/>
        <v>6</v>
      </c>
      <c r="B46" t="str">
        <f ca="1">VLOOKUP('Master Sheet'!A46,'Code Options'!$A$1:$B$7,2)</f>
        <v>Tires/Rubber</v>
      </c>
      <c r="C46">
        <f t="shared" ca="1" si="1"/>
        <v>1</v>
      </c>
      <c r="D46" t="str">
        <f ca="1">VLOOKUP('Master Sheet'!C46,'Code Options'!$A$1:$R$7,3)</f>
        <v>Retro</v>
      </c>
      <c r="E46">
        <f t="shared" ca="1" si="2"/>
        <v>5</v>
      </c>
      <c r="F46" t="str">
        <f ca="1">VLOOKUP('Master Sheet'!E46,'Code Options'!$A$1:$R$7,4)</f>
        <v>Nick</v>
      </c>
      <c r="G46">
        <f t="shared" ca="1" si="3"/>
        <v>2</v>
      </c>
      <c r="H46">
        <f ca="1">VLOOKUP('Master Sheet'!E46,'Code Options'!$A$1:$R$7,5)</f>
        <v>0</v>
      </c>
      <c r="I46">
        <f t="shared" ca="1" si="4"/>
        <v>1</v>
      </c>
      <c r="J46" t="str">
        <f ca="1">VLOOKUP('Master Sheet'!G46,'Code Options'!$A$1:$R$7,6)</f>
        <v>State</v>
      </c>
      <c r="K46">
        <f t="shared" ca="1" si="5"/>
        <v>1</v>
      </c>
      <c r="L46" t="str">
        <f ca="1">VLOOKUP('Master Sheet'!I46,'Code Options'!$A$1:$R$7,7)</f>
        <v>Habitat</v>
      </c>
      <c r="M46">
        <f t="shared" ca="1" si="6"/>
        <v>4</v>
      </c>
      <c r="N46" t="str">
        <f ca="1">VLOOKUP('Master Sheet'!K46,'Code Options'!$A$1:$R$7,8)</f>
        <v>Fish.Enhancement</v>
      </c>
      <c r="O46">
        <f t="shared" ca="1" si="7"/>
        <v>1</v>
      </c>
      <c r="P46" t="str">
        <f ca="1">VLOOKUP('Master Sheet'!E46,'Code Options'!$A$1:$R$7,9)</f>
        <v>Guide</v>
      </c>
      <c r="Q46" cm="1">
        <f t="array" aca="1" ref="Q46" ca="1">_xlfn.IFS(P46 ="State_Plan", RANDBETWEEN(1,23), P46 ="State_Code", RANDBETWEEN(1,23), P46 = "Fed_Code", 99, P46 = "Summ_Article", 999, P46 = "Guide", 999)</f>
        <v>999</v>
      </c>
      <c r="R46" t="str">
        <f ca="1">VLOOKUP(Q46,'States and Locations'!$A$1:$B$26,2)</f>
        <v>UNK</v>
      </c>
      <c r="S46">
        <f ca="1">VLOOKUP(Q46,'States and Locations'!$A$1:$D$26,3)</f>
        <v>25</v>
      </c>
      <c r="T46">
        <f ca="1">VLOOKUP(Q46,'States and Locations'!$A$1:$D$26,4)</f>
        <v>-90</v>
      </c>
      <c r="U46">
        <f t="shared" ca="1" si="8"/>
        <v>4</v>
      </c>
      <c r="V46" t="str">
        <f ca="1">VLOOKUP('Master Sheet'!E46,'Code Options'!$A$1:$R$7,10)</f>
        <v>Wave_attenuation</v>
      </c>
      <c r="W46">
        <f t="shared" ca="1" si="9"/>
        <v>1</v>
      </c>
      <c r="X46" t="str">
        <f ca="1">VLOOKUP('Master Sheet'!E46,'Code Options'!$A$1:$R$7,11)</f>
        <v>Scuba</v>
      </c>
      <c r="Y46">
        <f t="shared" ca="1" si="10"/>
        <v>5</v>
      </c>
      <c r="Z46" t="str">
        <f ca="1">VLOOKUP('Master Sheet'!E46,'Code Options'!$A$1:$R$7,12)</f>
        <v>anglers</v>
      </c>
    </row>
    <row r="47" spans="1:26" x14ac:dyDescent="0.2">
      <c r="A47">
        <f t="shared" ca="1" si="0"/>
        <v>3</v>
      </c>
      <c r="B47" t="str">
        <f ca="1">VLOOKUP('Master Sheet'!A47,'Code Options'!$A$1:$B$7,2)</f>
        <v>Metal</v>
      </c>
      <c r="C47">
        <f t="shared" ca="1" si="1"/>
        <v>1</v>
      </c>
      <c r="D47" t="str">
        <f ca="1">VLOOKUP('Master Sheet'!C47,'Code Options'!$A$1:$R$7,3)</f>
        <v>Retro</v>
      </c>
      <c r="E47">
        <f t="shared" ca="1" si="2"/>
        <v>4</v>
      </c>
      <c r="F47" t="str">
        <f ca="1">VLOOKUP('Master Sheet'!E47,'Code Options'!$A$1:$R$7,4)</f>
        <v>LM</v>
      </c>
      <c r="G47">
        <f t="shared" ca="1" si="3"/>
        <v>3</v>
      </c>
      <c r="H47">
        <f ca="1">VLOOKUP('Master Sheet'!E47,'Code Options'!$A$1:$R$7,5)</f>
        <v>0</v>
      </c>
      <c r="I47">
        <f t="shared" ca="1" si="4"/>
        <v>1</v>
      </c>
      <c r="J47" t="str">
        <f ca="1">VLOOKUP('Master Sheet'!G47,'Code Options'!$A$1:$R$7,6)</f>
        <v>Regional</v>
      </c>
      <c r="K47">
        <f t="shared" ca="1" si="5"/>
        <v>2</v>
      </c>
      <c r="L47" t="str">
        <f ca="1">VLOOKUP('Master Sheet'!I47,'Code Options'!$A$1:$R$7,7)</f>
        <v>Habitat</v>
      </c>
      <c r="M47">
        <f t="shared" ca="1" si="6"/>
        <v>4</v>
      </c>
      <c r="N47" t="str">
        <f ca="1">VLOOKUP('Master Sheet'!K47,'Code Options'!$A$1:$R$7,8)</f>
        <v>Comm.Fish.Mngmt</v>
      </c>
      <c r="O47">
        <f t="shared" ca="1" si="7"/>
        <v>4</v>
      </c>
      <c r="P47" t="str">
        <f ca="1">VLOOKUP('Master Sheet'!E47,'Code Options'!$A$1:$R$7,9)</f>
        <v>Summ_Article</v>
      </c>
      <c r="Q47" cm="1">
        <f t="array" aca="1" ref="Q47" ca="1">_xlfn.IFS(P47 ="State_Plan", RANDBETWEEN(1,23), P47 ="State_Code", RANDBETWEEN(1,23), P47 = "Fed_Code", 99, P47 = "Summ_Article", 999, P47 = "Guide", 999)</f>
        <v>999</v>
      </c>
      <c r="R47" t="str">
        <f ca="1">VLOOKUP(Q47,'States and Locations'!$A$1:$B$26,2)</f>
        <v>UNK</v>
      </c>
      <c r="S47">
        <f ca="1">VLOOKUP(Q47,'States and Locations'!$A$1:$D$26,3)</f>
        <v>25</v>
      </c>
      <c r="T47">
        <f ca="1">VLOOKUP(Q47,'States and Locations'!$A$1:$D$26,4)</f>
        <v>-90</v>
      </c>
      <c r="U47">
        <f t="shared" ca="1" si="8"/>
        <v>1</v>
      </c>
      <c r="V47" t="str">
        <f ca="1">VLOOKUP('Master Sheet'!E47,'Code Options'!$A$1:$R$7,10)</f>
        <v>Hab_restoration</v>
      </c>
      <c r="W47">
        <f t="shared" ca="1" si="9"/>
        <v>2</v>
      </c>
      <c r="X47" t="str">
        <f ca="1">VLOOKUP('Master Sheet'!E47,'Code Options'!$A$1:$R$7,11)</f>
        <v>Non-Fish_rec</v>
      </c>
      <c r="Y47">
        <f t="shared" ca="1" si="10"/>
        <v>2</v>
      </c>
      <c r="Z47" t="str">
        <f ca="1">VLOOKUP('Master Sheet'!E47,'Code Options'!$A$1:$R$7,12)</f>
        <v>people_interested</v>
      </c>
    </row>
    <row r="48" spans="1:26" x14ac:dyDescent="0.2">
      <c r="A48">
        <f t="shared" ca="1" si="0"/>
        <v>4</v>
      </c>
      <c r="B48" t="str">
        <f ca="1">VLOOKUP('Master Sheet'!A48,'Code Options'!$A$1:$B$7,2)</f>
        <v>Other</v>
      </c>
      <c r="C48">
        <f t="shared" ca="1" si="1"/>
        <v>2</v>
      </c>
      <c r="D48" t="str">
        <f ca="1">VLOOKUP('Master Sheet'!C48,'Code Options'!$A$1:$R$7,3)</f>
        <v>Pro</v>
      </c>
      <c r="E48">
        <f t="shared" ca="1" si="2"/>
        <v>5</v>
      </c>
      <c r="F48" t="str">
        <f ca="1">VLOOKUP('Master Sheet'!E48,'Code Options'!$A$1:$R$7,4)</f>
        <v>Nick</v>
      </c>
      <c r="G48">
        <f t="shared" ca="1" si="3"/>
        <v>2</v>
      </c>
      <c r="H48">
        <f ca="1">VLOOKUP('Master Sheet'!E48,'Code Options'!$A$1:$R$7,5)</f>
        <v>0</v>
      </c>
      <c r="I48">
        <f t="shared" ca="1" si="4"/>
        <v>2</v>
      </c>
      <c r="J48" t="str">
        <f ca="1">VLOOKUP('Master Sheet'!G48,'Code Options'!$A$1:$R$7,6)</f>
        <v>State</v>
      </c>
      <c r="K48">
        <f t="shared" ca="1" si="5"/>
        <v>2</v>
      </c>
      <c r="L48" t="str">
        <f ca="1">VLOOKUP('Master Sheet'!I48,'Code Options'!$A$1:$R$7,7)</f>
        <v>Production</v>
      </c>
      <c r="M48">
        <f t="shared" ca="1" si="6"/>
        <v>1</v>
      </c>
      <c r="N48" t="str">
        <f ca="1">VLOOKUP('Master Sheet'!K48,'Code Options'!$A$1:$R$7,8)</f>
        <v>Comm.Fish.Mngmt</v>
      </c>
      <c r="O48">
        <f t="shared" ca="1" si="7"/>
        <v>3</v>
      </c>
      <c r="P48" t="str">
        <f ca="1">VLOOKUP('Master Sheet'!E48,'Code Options'!$A$1:$R$7,9)</f>
        <v>Guide</v>
      </c>
      <c r="Q48" cm="1">
        <f t="array" aca="1" ref="Q48" ca="1">_xlfn.IFS(P48 ="State_Plan", RANDBETWEEN(1,23), P48 ="State_Code", RANDBETWEEN(1,23), P48 = "Fed_Code", 99, P48 = "Summ_Article", 999, P48 = "Guide", 999)</f>
        <v>999</v>
      </c>
      <c r="R48" t="str">
        <f ca="1">VLOOKUP(Q48,'States and Locations'!$A$1:$B$26,2)</f>
        <v>UNK</v>
      </c>
      <c r="S48">
        <f ca="1">VLOOKUP(Q48,'States and Locations'!$A$1:$D$26,3)</f>
        <v>25</v>
      </c>
      <c r="T48">
        <f ca="1">VLOOKUP(Q48,'States and Locations'!$A$1:$D$26,4)</f>
        <v>-90</v>
      </c>
      <c r="U48">
        <f t="shared" ca="1" si="8"/>
        <v>1</v>
      </c>
      <c r="V48" t="str">
        <f ca="1">VLOOKUP('Master Sheet'!E48,'Code Options'!$A$1:$R$7,10)</f>
        <v>Wave_attenuation</v>
      </c>
      <c r="W48">
        <f t="shared" ca="1" si="9"/>
        <v>4</v>
      </c>
      <c r="X48" t="str">
        <f ca="1">VLOOKUP('Master Sheet'!E48,'Code Options'!$A$1:$R$7,11)</f>
        <v>Scuba</v>
      </c>
      <c r="Y48">
        <f t="shared" ca="1" si="10"/>
        <v>2</v>
      </c>
      <c r="Z48" t="str">
        <f ca="1">VLOOKUP('Master Sheet'!E48,'Code Options'!$A$1:$R$7,12)</f>
        <v>anglers</v>
      </c>
    </row>
    <row r="49" spans="1:26" x14ac:dyDescent="0.2">
      <c r="A49">
        <f t="shared" ca="1" si="0"/>
        <v>5</v>
      </c>
      <c r="B49" t="str">
        <f ca="1">VLOOKUP('Master Sheet'!A49,'Code Options'!$A$1:$B$7,2)</f>
        <v>Rock</v>
      </c>
      <c r="C49">
        <f t="shared" ca="1" si="1"/>
        <v>3</v>
      </c>
      <c r="D49" t="str">
        <f ca="1">VLOOKUP('Master Sheet'!C49,'Code Options'!$A$1:$R$7,3)</f>
        <v>Unsure</v>
      </c>
      <c r="E49">
        <f t="shared" ca="1" si="2"/>
        <v>4</v>
      </c>
      <c r="F49" t="str">
        <f ca="1">VLOOKUP('Master Sheet'!E49,'Code Options'!$A$1:$R$7,4)</f>
        <v>LM</v>
      </c>
      <c r="G49">
        <f t="shared" ca="1" si="3"/>
        <v>3</v>
      </c>
      <c r="H49">
        <f ca="1">VLOOKUP('Master Sheet'!E49,'Code Options'!$A$1:$R$7,5)</f>
        <v>0</v>
      </c>
      <c r="I49">
        <f t="shared" ca="1" si="4"/>
        <v>1</v>
      </c>
      <c r="J49" t="str">
        <f ca="1">VLOOKUP('Master Sheet'!G49,'Code Options'!$A$1:$R$7,6)</f>
        <v>Regional</v>
      </c>
      <c r="K49">
        <f t="shared" ca="1" si="5"/>
        <v>4</v>
      </c>
      <c r="L49" t="str">
        <f ca="1">VLOOKUP('Master Sheet'!I49,'Code Options'!$A$1:$R$7,7)</f>
        <v>Habitat</v>
      </c>
      <c r="M49">
        <f t="shared" ca="1" si="6"/>
        <v>2</v>
      </c>
      <c r="N49" t="str">
        <f ca="1">VLOOKUP('Master Sheet'!K49,'Code Options'!$A$1:$R$7,8)</f>
        <v>Creation of AR Mat</v>
      </c>
      <c r="O49">
        <f t="shared" ca="1" si="7"/>
        <v>1</v>
      </c>
      <c r="P49" t="str">
        <f ca="1">VLOOKUP('Master Sheet'!E49,'Code Options'!$A$1:$R$7,9)</f>
        <v>Summ_Article</v>
      </c>
      <c r="Q49" cm="1">
        <f t="array" aca="1" ref="Q49" ca="1">_xlfn.IFS(P49 ="State_Plan", RANDBETWEEN(1,23), P49 ="State_Code", RANDBETWEEN(1,23), P49 = "Fed_Code", 99, P49 = "Summ_Article", 999, P49 = "Guide", 999)</f>
        <v>999</v>
      </c>
      <c r="R49" t="str">
        <f ca="1">VLOOKUP(Q49,'States and Locations'!$A$1:$B$26,2)</f>
        <v>UNK</v>
      </c>
      <c r="S49">
        <f ca="1">VLOOKUP(Q49,'States and Locations'!$A$1:$D$26,3)</f>
        <v>25</v>
      </c>
      <c r="T49">
        <f ca="1">VLOOKUP(Q49,'States and Locations'!$A$1:$D$26,4)</f>
        <v>-90</v>
      </c>
      <c r="U49">
        <f t="shared" ca="1" si="8"/>
        <v>3</v>
      </c>
      <c r="V49" t="str">
        <f ca="1">VLOOKUP('Master Sheet'!E49,'Code Options'!$A$1:$R$7,10)</f>
        <v>Hab_restoration</v>
      </c>
      <c r="W49">
        <f t="shared" ca="1" si="9"/>
        <v>5</v>
      </c>
      <c r="X49" t="str">
        <f ca="1">VLOOKUP('Master Sheet'!E49,'Code Options'!$A$1:$R$7,11)</f>
        <v>Non-Fish_rec</v>
      </c>
      <c r="Y49">
        <f t="shared" ca="1" si="10"/>
        <v>2</v>
      </c>
      <c r="Z49" t="str">
        <f ca="1">VLOOKUP('Master Sheet'!E49,'Code Options'!$A$1:$R$7,12)</f>
        <v>people_interested</v>
      </c>
    </row>
    <row r="50" spans="1:26" x14ac:dyDescent="0.2">
      <c r="A50">
        <f t="shared" ca="1" si="0"/>
        <v>3</v>
      </c>
      <c r="B50" t="str">
        <f ca="1">VLOOKUP('Master Sheet'!A50,'Code Options'!$A$1:$B$7,2)</f>
        <v>Metal</v>
      </c>
      <c r="C50">
        <f t="shared" ca="1" si="1"/>
        <v>1</v>
      </c>
      <c r="D50" t="str">
        <f ca="1">VLOOKUP('Master Sheet'!C50,'Code Options'!$A$1:$R$7,3)</f>
        <v>Retro</v>
      </c>
      <c r="E50">
        <f t="shared" ca="1" si="2"/>
        <v>5</v>
      </c>
      <c r="F50" t="str">
        <f ca="1">VLOOKUP('Master Sheet'!E50,'Code Options'!$A$1:$R$7,4)</f>
        <v>Nick</v>
      </c>
      <c r="G50">
        <f t="shared" ca="1" si="3"/>
        <v>1</v>
      </c>
      <c r="H50">
        <f ca="1">VLOOKUP('Master Sheet'!E50,'Code Options'!$A$1:$R$7,5)</f>
        <v>0</v>
      </c>
      <c r="I50">
        <f t="shared" ca="1" si="4"/>
        <v>1</v>
      </c>
      <c r="J50" t="str">
        <f ca="1">VLOOKUP('Master Sheet'!G50,'Code Options'!$A$1:$R$7,6)</f>
        <v>County/Local</v>
      </c>
      <c r="K50">
        <f t="shared" ca="1" si="5"/>
        <v>1</v>
      </c>
      <c r="L50" t="str">
        <f ca="1">VLOOKUP('Master Sheet'!I50,'Code Options'!$A$1:$R$7,7)</f>
        <v>Habitat</v>
      </c>
      <c r="M50">
        <f t="shared" ca="1" si="6"/>
        <v>2</v>
      </c>
      <c r="N50" t="str">
        <f ca="1">VLOOKUP('Master Sheet'!K50,'Code Options'!$A$1:$R$7,8)</f>
        <v>Fish.Enhancement</v>
      </c>
      <c r="O50">
        <f t="shared" ca="1" si="7"/>
        <v>2</v>
      </c>
      <c r="P50" t="str">
        <f ca="1">VLOOKUP('Master Sheet'!E50,'Code Options'!$A$1:$R$7,9)</f>
        <v>Guide</v>
      </c>
      <c r="Q50" cm="1">
        <f t="array" aca="1" ref="Q50" ca="1">_xlfn.IFS(P50 ="State_Plan", RANDBETWEEN(1,23), P50 ="State_Code", RANDBETWEEN(1,23), P50 = "Fed_Code", 99, P50 = "Summ_Article", 999, P50 = "Guide", 999)</f>
        <v>999</v>
      </c>
      <c r="R50" t="str">
        <f ca="1">VLOOKUP(Q50,'States and Locations'!$A$1:$B$26,2)</f>
        <v>UNK</v>
      </c>
      <c r="S50">
        <f ca="1">VLOOKUP(Q50,'States and Locations'!$A$1:$D$26,3)</f>
        <v>25</v>
      </c>
      <c r="T50">
        <f ca="1">VLOOKUP(Q50,'States and Locations'!$A$1:$D$26,4)</f>
        <v>-90</v>
      </c>
      <c r="U50">
        <f t="shared" ca="1" si="8"/>
        <v>3</v>
      </c>
      <c r="V50" t="str">
        <f ca="1">VLOOKUP('Master Sheet'!E50,'Code Options'!$A$1:$R$7,10)</f>
        <v>Wave_attenuation</v>
      </c>
      <c r="W50">
        <f t="shared" ca="1" si="9"/>
        <v>3</v>
      </c>
      <c r="X50" t="str">
        <f ca="1">VLOOKUP('Master Sheet'!E50,'Code Options'!$A$1:$R$7,11)</f>
        <v>Scuba</v>
      </c>
      <c r="Y50">
        <f t="shared" ca="1" si="10"/>
        <v>4</v>
      </c>
      <c r="Z50" t="str">
        <f ca="1">VLOOKUP('Master Sheet'!E50,'Code Options'!$A$1:$R$7,12)</f>
        <v>anglers</v>
      </c>
    </row>
    <row r="51" spans="1:26" x14ac:dyDescent="0.2">
      <c r="A51">
        <f t="shared" ca="1" si="0"/>
        <v>4</v>
      </c>
      <c r="B51" t="str">
        <f ca="1">VLOOKUP('Master Sheet'!A51,'Code Options'!$A$1:$B$7,2)</f>
        <v>Other</v>
      </c>
      <c r="C51">
        <f t="shared" ca="1" si="1"/>
        <v>1</v>
      </c>
      <c r="D51" t="str">
        <f ca="1">VLOOKUP('Master Sheet'!C51,'Code Options'!$A$1:$R$7,3)</f>
        <v>Retro</v>
      </c>
      <c r="E51">
        <f t="shared" ca="1" si="2"/>
        <v>5</v>
      </c>
      <c r="F51" t="str">
        <f ca="1">VLOOKUP('Master Sheet'!E51,'Code Options'!$A$1:$R$7,4)</f>
        <v>Nick</v>
      </c>
      <c r="G51">
        <f t="shared" ca="1" si="3"/>
        <v>2</v>
      </c>
      <c r="H51">
        <f ca="1">VLOOKUP('Master Sheet'!E51,'Code Options'!$A$1:$R$7,5)</f>
        <v>0</v>
      </c>
      <c r="I51">
        <f t="shared" ca="1" si="4"/>
        <v>2</v>
      </c>
      <c r="J51" t="str">
        <f ca="1">VLOOKUP('Master Sheet'!G51,'Code Options'!$A$1:$R$7,6)</f>
        <v>State</v>
      </c>
      <c r="K51">
        <f t="shared" ca="1" si="5"/>
        <v>2</v>
      </c>
      <c r="L51" t="str">
        <f ca="1">VLOOKUP('Master Sheet'!I51,'Code Options'!$A$1:$R$7,7)</f>
        <v>Production</v>
      </c>
      <c r="M51">
        <f t="shared" ca="1" si="6"/>
        <v>1</v>
      </c>
      <c r="N51" t="str">
        <f ca="1">VLOOKUP('Master Sheet'!K51,'Code Options'!$A$1:$R$7,8)</f>
        <v>Comm.Fish.Mngmt</v>
      </c>
      <c r="O51">
        <f t="shared" ca="1" si="7"/>
        <v>1</v>
      </c>
      <c r="P51" t="str">
        <f ca="1">VLOOKUP('Master Sheet'!E51,'Code Options'!$A$1:$R$7,9)</f>
        <v>Guide</v>
      </c>
      <c r="Q51" cm="1">
        <f t="array" aca="1" ref="Q51" ca="1">_xlfn.IFS(P51 ="State_Plan", RANDBETWEEN(1,23), P51 ="State_Code", RANDBETWEEN(1,23), P51 = "Fed_Code", 99, P51 = "Summ_Article", 999, P51 = "Guide", 999)</f>
        <v>999</v>
      </c>
      <c r="R51" t="str">
        <f ca="1">VLOOKUP(Q51,'States and Locations'!$A$1:$B$26,2)</f>
        <v>UNK</v>
      </c>
      <c r="S51">
        <f ca="1">VLOOKUP(Q51,'States and Locations'!$A$1:$D$26,3)</f>
        <v>25</v>
      </c>
      <c r="T51">
        <f ca="1">VLOOKUP(Q51,'States and Locations'!$A$1:$D$26,4)</f>
        <v>-90</v>
      </c>
      <c r="U51">
        <f t="shared" ca="1" si="8"/>
        <v>1</v>
      </c>
      <c r="V51" t="str">
        <f ca="1">VLOOKUP('Master Sheet'!E51,'Code Options'!$A$1:$R$7,10)</f>
        <v>Wave_attenuation</v>
      </c>
      <c r="W51">
        <f t="shared" ca="1" si="9"/>
        <v>4</v>
      </c>
      <c r="X51" t="str">
        <f ca="1">VLOOKUP('Master Sheet'!E51,'Code Options'!$A$1:$R$7,11)</f>
        <v>Scuba</v>
      </c>
      <c r="Y51">
        <f t="shared" ca="1" si="10"/>
        <v>5</v>
      </c>
      <c r="Z51" t="str">
        <f ca="1">VLOOKUP('Master Sheet'!E51,'Code Options'!$A$1:$R$7,12)</f>
        <v>anglers</v>
      </c>
    </row>
    <row r="52" spans="1:26" x14ac:dyDescent="0.2">
      <c r="A52">
        <f t="shared" ca="1" si="0"/>
        <v>1</v>
      </c>
      <c r="B52" t="str">
        <f ca="1">VLOOKUP('Master Sheet'!A52,'Code Options'!$A$1:$B$7,2)</f>
        <v>Composite</v>
      </c>
      <c r="C52">
        <f t="shared" ca="1" si="1"/>
        <v>2</v>
      </c>
      <c r="D52" t="str">
        <f ca="1">VLOOKUP('Master Sheet'!C52,'Code Options'!$A$1:$R$7,3)</f>
        <v>Pro</v>
      </c>
      <c r="E52">
        <f t="shared" ca="1" si="2"/>
        <v>1</v>
      </c>
      <c r="F52" t="str">
        <f ca="1">VLOOKUP('Master Sheet'!E52,'Code Options'!$A$1:$R$7,4)</f>
        <v>Will</v>
      </c>
      <c r="G52">
        <f t="shared" ca="1" si="3"/>
        <v>3</v>
      </c>
      <c r="H52" t="str">
        <f ca="1">VLOOKUP('Master Sheet'!E52,'Code Options'!$A$1:$R$7,5)</f>
        <v>Will</v>
      </c>
      <c r="I52">
        <f t="shared" ca="1" si="4"/>
        <v>2</v>
      </c>
      <c r="J52" t="str">
        <f ca="1">VLOOKUP('Master Sheet'!G52,'Code Options'!$A$1:$R$7,6)</f>
        <v>Regional</v>
      </c>
      <c r="K52">
        <f t="shared" ca="1" si="5"/>
        <v>3</v>
      </c>
      <c r="L52" t="str">
        <f ca="1">VLOOKUP('Master Sheet'!I52,'Code Options'!$A$1:$R$7,7)</f>
        <v>Production</v>
      </c>
      <c r="M52">
        <f t="shared" ca="1" si="6"/>
        <v>5</v>
      </c>
      <c r="N52" t="str">
        <f ca="1">VLOOKUP('Master Sheet'!K52,'Code Options'!$A$1:$R$7,8)</f>
        <v>Rec.Fish.Mngmt</v>
      </c>
      <c r="O52">
        <f t="shared" ca="1" si="7"/>
        <v>5</v>
      </c>
      <c r="P52" t="str">
        <f ca="1">VLOOKUP('Master Sheet'!E52,'Code Options'!$A$1:$R$7,9)</f>
        <v>State_Code</v>
      </c>
      <c r="Q52" cm="1">
        <f t="array" aca="1" ref="Q52" ca="1">_xlfn.IFS(P52 ="State_Plan", RANDBETWEEN(1,23), P52 ="State_Code", RANDBETWEEN(1,23), P52 = "Fed_Code", 99, P52 = "Summ_Article", 999, P52 = "Guide", 999)</f>
        <v>19</v>
      </c>
      <c r="R52" t="str">
        <f ca="1">VLOOKUP(Q52,'States and Locations'!$A$1:$B$26,2)</f>
        <v>California</v>
      </c>
      <c r="S52">
        <f ca="1">VLOOKUP(Q52,'States and Locations'!$A$1:$D$26,3)</f>
        <v>36.966700000000003</v>
      </c>
      <c r="T52">
        <f ca="1">VLOOKUP(Q52,'States and Locations'!$A$1:$D$26,4)</f>
        <v>-120.08329999999999</v>
      </c>
      <c r="U52">
        <f t="shared" ca="1" si="8"/>
        <v>4</v>
      </c>
      <c r="V52" t="str">
        <f ca="1">VLOOKUP('Master Sheet'!E52,'Code Options'!$A$1:$R$7,10)</f>
        <v>Hab_enhancement</v>
      </c>
      <c r="W52">
        <f t="shared" ca="1" si="9"/>
        <v>3</v>
      </c>
      <c r="X52" t="str">
        <f ca="1">VLOOKUP('Master Sheet'!E52,'Code Options'!$A$1:$R$7,11)</f>
        <v>Rec_Fish</v>
      </c>
      <c r="Y52">
        <f t="shared" ca="1" si="10"/>
        <v>1</v>
      </c>
      <c r="Z52" t="str">
        <f ca="1">VLOOKUP('Master Sheet'!E52,'Code Options'!$A$1:$R$7,12)</f>
        <v>AR_proj_plan_mngrs</v>
      </c>
    </row>
    <row r="53" spans="1:26" x14ac:dyDescent="0.2">
      <c r="A53">
        <f t="shared" ca="1" si="0"/>
        <v>1</v>
      </c>
      <c r="B53" t="str">
        <f ca="1">VLOOKUP('Master Sheet'!A53,'Code Options'!$A$1:$B$7,2)</f>
        <v>Composite</v>
      </c>
      <c r="C53">
        <f t="shared" ca="1" si="1"/>
        <v>2</v>
      </c>
      <c r="D53" t="str">
        <f ca="1">VLOOKUP('Master Sheet'!C53,'Code Options'!$A$1:$R$7,3)</f>
        <v>Pro</v>
      </c>
      <c r="E53">
        <f t="shared" ca="1" si="2"/>
        <v>5</v>
      </c>
      <c r="F53" t="str">
        <f ca="1">VLOOKUP('Master Sheet'!E53,'Code Options'!$A$1:$R$7,4)</f>
        <v>Nick</v>
      </c>
      <c r="G53">
        <f t="shared" ca="1" si="3"/>
        <v>2</v>
      </c>
      <c r="H53">
        <f ca="1">VLOOKUP('Master Sheet'!E53,'Code Options'!$A$1:$R$7,5)</f>
        <v>0</v>
      </c>
      <c r="I53">
        <f t="shared" ca="1" si="4"/>
        <v>4</v>
      </c>
      <c r="J53" t="str">
        <f ca="1">VLOOKUP('Master Sheet'!G53,'Code Options'!$A$1:$R$7,6)</f>
        <v>State</v>
      </c>
      <c r="K53">
        <f t="shared" ca="1" si="5"/>
        <v>4</v>
      </c>
      <c r="L53" t="str">
        <f ca="1">VLOOKUP('Master Sheet'!I53,'Code Options'!$A$1:$R$7,7)</f>
        <v>Biodiversity</v>
      </c>
      <c r="M53">
        <f t="shared" ca="1" si="6"/>
        <v>3</v>
      </c>
      <c r="N53" t="str">
        <f ca="1">VLOOKUP('Master Sheet'!K53,'Code Options'!$A$1:$R$7,8)</f>
        <v>Creation of AR Mat</v>
      </c>
      <c r="O53">
        <f t="shared" ca="1" si="7"/>
        <v>4</v>
      </c>
      <c r="P53" t="str">
        <f ca="1">VLOOKUP('Master Sheet'!E53,'Code Options'!$A$1:$R$7,9)</f>
        <v>Guide</v>
      </c>
      <c r="Q53" cm="1">
        <f t="array" aca="1" ref="Q53" ca="1">_xlfn.IFS(P53 ="State_Plan", RANDBETWEEN(1,23), P53 ="State_Code", RANDBETWEEN(1,23), P53 = "Fed_Code", 99, P53 = "Summ_Article", 999, P53 = "Guide", 999)</f>
        <v>999</v>
      </c>
      <c r="R53" t="str">
        <f ca="1">VLOOKUP(Q53,'States and Locations'!$A$1:$B$26,2)</f>
        <v>UNK</v>
      </c>
      <c r="S53">
        <f ca="1">VLOOKUP(Q53,'States and Locations'!$A$1:$D$26,3)</f>
        <v>25</v>
      </c>
      <c r="T53">
        <f ca="1">VLOOKUP(Q53,'States and Locations'!$A$1:$D$26,4)</f>
        <v>-90</v>
      </c>
      <c r="U53">
        <f t="shared" ca="1" si="8"/>
        <v>5</v>
      </c>
      <c r="V53" t="str">
        <f ca="1">VLOOKUP('Master Sheet'!E53,'Code Options'!$A$1:$R$7,10)</f>
        <v>Wave_attenuation</v>
      </c>
      <c r="W53">
        <f t="shared" ca="1" si="9"/>
        <v>1</v>
      </c>
      <c r="X53" t="str">
        <f ca="1">VLOOKUP('Master Sheet'!E53,'Code Options'!$A$1:$R$7,11)</f>
        <v>Scuba</v>
      </c>
      <c r="Y53">
        <f t="shared" ca="1" si="10"/>
        <v>2</v>
      </c>
      <c r="Z53" t="str">
        <f ca="1">VLOOKUP('Master Sheet'!E53,'Code Options'!$A$1:$R$7,12)</f>
        <v>anglers</v>
      </c>
    </row>
    <row r="54" spans="1:26" x14ac:dyDescent="0.2">
      <c r="A54">
        <f t="shared" ca="1" si="0"/>
        <v>3</v>
      </c>
      <c r="B54" t="str">
        <f ca="1">VLOOKUP('Master Sheet'!A54,'Code Options'!$A$1:$B$7,2)</f>
        <v>Metal</v>
      </c>
      <c r="C54">
        <f t="shared" ca="1" si="1"/>
        <v>3</v>
      </c>
      <c r="D54" t="str">
        <f ca="1">VLOOKUP('Master Sheet'!C54,'Code Options'!$A$1:$R$7,3)</f>
        <v>Unsure</v>
      </c>
      <c r="E54">
        <f t="shared" ca="1" si="2"/>
        <v>4</v>
      </c>
      <c r="F54" t="str">
        <f ca="1">VLOOKUP('Master Sheet'!E54,'Code Options'!$A$1:$R$7,4)</f>
        <v>LM</v>
      </c>
      <c r="G54">
        <f t="shared" ca="1" si="3"/>
        <v>3</v>
      </c>
      <c r="H54">
        <f ca="1">VLOOKUP('Master Sheet'!E54,'Code Options'!$A$1:$R$7,5)</f>
        <v>0</v>
      </c>
      <c r="I54">
        <f t="shared" ca="1" si="4"/>
        <v>2</v>
      </c>
      <c r="J54" t="str">
        <f ca="1">VLOOKUP('Master Sheet'!G54,'Code Options'!$A$1:$R$7,6)</f>
        <v>Regional</v>
      </c>
      <c r="K54">
        <f t="shared" ca="1" si="5"/>
        <v>3</v>
      </c>
      <c r="L54" t="str">
        <f ca="1">VLOOKUP('Master Sheet'!I54,'Code Options'!$A$1:$R$7,7)</f>
        <v>Production</v>
      </c>
      <c r="M54">
        <f t="shared" ca="1" si="6"/>
        <v>1</v>
      </c>
      <c r="N54" t="str">
        <f ca="1">VLOOKUP('Master Sheet'!K54,'Code Options'!$A$1:$R$7,8)</f>
        <v>Rec.Fish.Mngmt</v>
      </c>
      <c r="O54">
        <f t="shared" ca="1" si="7"/>
        <v>1</v>
      </c>
      <c r="P54" t="str">
        <f ca="1">VLOOKUP('Master Sheet'!E54,'Code Options'!$A$1:$R$7,9)</f>
        <v>Summ_Article</v>
      </c>
      <c r="Q54" cm="1">
        <f t="array" aca="1" ref="Q54" ca="1">_xlfn.IFS(P54 ="State_Plan", RANDBETWEEN(1,23), P54 ="State_Code", RANDBETWEEN(1,23), P54 = "Fed_Code", 99, P54 = "Summ_Article", 999, P54 = "Guide", 999)</f>
        <v>999</v>
      </c>
      <c r="R54" t="str">
        <f ca="1">VLOOKUP(Q54,'States and Locations'!$A$1:$B$26,2)</f>
        <v>UNK</v>
      </c>
      <c r="S54">
        <f ca="1">VLOOKUP(Q54,'States and Locations'!$A$1:$D$26,3)</f>
        <v>25</v>
      </c>
      <c r="T54">
        <f ca="1">VLOOKUP(Q54,'States and Locations'!$A$1:$D$26,4)</f>
        <v>-90</v>
      </c>
      <c r="U54">
        <f t="shared" ca="1" si="8"/>
        <v>2</v>
      </c>
      <c r="V54" t="str">
        <f ca="1">VLOOKUP('Master Sheet'!E54,'Code Options'!$A$1:$R$7,10)</f>
        <v>Hab_restoration</v>
      </c>
      <c r="W54">
        <f t="shared" ca="1" si="9"/>
        <v>4</v>
      </c>
      <c r="X54" t="str">
        <f ca="1">VLOOKUP('Master Sheet'!E54,'Code Options'!$A$1:$R$7,11)</f>
        <v>Non-Fish_rec</v>
      </c>
      <c r="Y54">
        <f t="shared" ca="1" si="10"/>
        <v>4</v>
      </c>
      <c r="Z54" t="str">
        <f ca="1">VLOOKUP('Master Sheet'!E54,'Code Options'!$A$1:$R$7,12)</f>
        <v>people_interested</v>
      </c>
    </row>
    <row r="55" spans="1:26" x14ac:dyDescent="0.2">
      <c r="A55">
        <f t="shared" ca="1" si="0"/>
        <v>4</v>
      </c>
      <c r="B55" t="str">
        <f ca="1">VLOOKUP('Master Sheet'!A55,'Code Options'!$A$1:$B$7,2)</f>
        <v>Other</v>
      </c>
      <c r="C55">
        <f t="shared" ca="1" si="1"/>
        <v>1</v>
      </c>
      <c r="D55" t="str">
        <f ca="1">VLOOKUP('Master Sheet'!C55,'Code Options'!$A$1:$R$7,3)</f>
        <v>Retro</v>
      </c>
      <c r="E55">
        <f t="shared" ca="1" si="2"/>
        <v>3</v>
      </c>
      <c r="F55" t="str">
        <f ca="1">VLOOKUP('Master Sheet'!E55,'Code Options'!$A$1:$R$7,4)</f>
        <v>Jon</v>
      </c>
      <c r="G55">
        <f t="shared" ca="1" si="3"/>
        <v>1</v>
      </c>
      <c r="H55" t="str">
        <f ca="1">VLOOKUP('Master Sheet'!E55,'Code Options'!$A$1:$R$7,5)</f>
        <v>Nick</v>
      </c>
      <c r="I55">
        <f t="shared" ca="1" si="4"/>
        <v>4</v>
      </c>
      <c r="J55" t="str">
        <f ca="1">VLOOKUP('Master Sheet'!G55,'Code Options'!$A$1:$R$7,6)</f>
        <v>County/Local</v>
      </c>
      <c r="K55">
        <f t="shared" ca="1" si="5"/>
        <v>3</v>
      </c>
      <c r="L55" t="str">
        <f ca="1">VLOOKUP('Master Sheet'!I55,'Code Options'!$A$1:$R$7,7)</f>
        <v>Biodiversity</v>
      </c>
      <c r="M55">
        <f t="shared" ca="1" si="6"/>
        <v>4</v>
      </c>
      <c r="N55" t="str">
        <f ca="1">VLOOKUP('Master Sheet'!K55,'Code Options'!$A$1:$R$7,8)</f>
        <v>Rec.Fish.Mngmt</v>
      </c>
      <c r="O55">
        <f t="shared" ca="1" si="7"/>
        <v>1</v>
      </c>
      <c r="P55" t="str">
        <f ca="1">VLOOKUP('Master Sheet'!E55,'Code Options'!$A$1:$R$7,9)</f>
        <v>State_Plan</v>
      </c>
      <c r="Q55" cm="1">
        <f t="array" aca="1" ref="Q55" ca="1">_xlfn.IFS(P55 ="State_Plan", RANDBETWEEN(1,23), P55 ="State_Code", RANDBETWEEN(1,23), P55 = "Fed_Code", 99, P55 = "Summ_Article", 999, P55 = "Guide", 999)</f>
        <v>8</v>
      </c>
      <c r="R55" t="str">
        <f ca="1">VLOOKUP(Q55,'States and Locations'!$A$1:$B$26,2)</f>
        <v>Delaware</v>
      </c>
      <c r="S55">
        <f ca="1">VLOOKUP(Q55,'States and Locations'!$A$1:$D$26,3)</f>
        <v>38.9833</v>
      </c>
      <c r="T55">
        <f ca="1">VLOOKUP(Q55,'States and Locations'!$A$1:$D$26,4)</f>
        <v>-75.5167</v>
      </c>
      <c r="U55">
        <f t="shared" ca="1" si="8"/>
        <v>2</v>
      </c>
      <c r="V55" t="str">
        <f ca="1">VLOOKUP('Master Sheet'!E55,'Code Options'!$A$1:$R$7,10)</f>
        <v>Mitig.</v>
      </c>
      <c r="W55">
        <f t="shared" ca="1" si="9"/>
        <v>3</v>
      </c>
      <c r="X55" t="str">
        <f ca="1">VLOOKUP('Master Sheet'!E55,'Code Options'!$A$1:$R$7,11)</f>
        <v>Chart_Fish</v>
      </c>
      <c r="Y55">
        <f t="shared" ca="1" si="10"/>
        <v>5</v>
      </c>
      <c r="Z55" t="str">
        <f ca="1">VLOOKUP('Master Sheet'!E55,'Code Options'!$A$1:$R$7,12)</f>
        <v>Permit_reg_agencies</v>
      </c>
    </row>
    <row r="56" spans="1:26" x14ac:dyDescent="0.2">
      <c r="A56">
        <f t="shared" ca="1" si="0"/>
        <v>3</v>
      </c>
      <c r="B56" t="str">
        <f ca="1">VLOOKUP('Master Sheet'!A56,'Code Options'!$A$1:$B$7,2)</f>
        <v>Metal</v>
      </c>
      <c r="C56">
        <f t="shared" ca="1" si="1"/>
        <v>3</v>
      </c>
      <c r="D56" t="str">
        <f ca="1">VLOOKUP('Master Sheet'!C56,'Code Options'!$A$1:$R$7,3)</f>
        <v>Unsure</v>
      </c>
      <c r="E56">
        <f t="shared" ca="1" si="2"/>
        <v>1</v>
      </c>
      <c r="F56" t="str">
        <f ca="1">VLOOKUP('Master Sheet'!E56,'Code Options'!$A$1:$R$7,4)</f>
        <v>Will</v>
      </c>
      <c r="G56">
        <f t="shared" ca="1" si="3"/>
        <v>2</v>
      </c>
      <c r="H56" t="str">
        <f ca="1">VLOOKUP('Master Sheet'!E56,'Code Options'!$A$1:$R$7,5)</f>
        <v>Will</v>
      </c>
      <c r="I56">
        <f t="shared" ca="1" si="4"/>
        <v>3</v>
      </c>
      <c r="J56" t="str">
        <f ca="1">VLOOKUP('Master Sheet'!G56,'Code Options'!$A$1:$R$7,6)</f>
        <v>State</v>
      </c>
      <c r="K56">
        <f t="shared" ca="1" si="5"/>
        <v>1</v>
      </c>
      <c r="L56" t="str">
        <f ca="1">VLOOKUP('Master Sheet'!I56,'Code Options'!$A$1:$R$7,7)</f>
        <v>Aggregation</v>
      </c>
      <c r="M56">
        <f t="shared" ca="1" si="6"/>
        <v>3</v>
      </c>
      <c r="N56" t="str">
        <f ca="1">VLOOKUP('Master Sheet'!K56,'Code Options'!$A$1:$R$7,8)</f>
        <v>Fish.Enhancement</v>
      </c>
      <c r="O56">
        <f t="shared" ca="1" si="7"/>
        <v>4</v>
      </c>
      <c r="P56" t="str">
        <f ca="1">VLOOKUP('Master Sheet'!E56,'Code Options'!$A$1:$R$7,9)</f>
        <v>State_Code</v>
      </c>
      <c r="Q56" cm="1">
        <f t="array" aca="1" ref="Q56" ca="1">_xlfn.IFS(P56 ="State_Plan", RANDBETWEEN(1,23), P56 ="State_Code", RANDBETWEEN(1,23), P56 = "Fed_Code", 99, P56 = "Summ_Article", 999, P56 = "Guide", 999)</f>
        <v>23</v>
      </c>
      <c r="R56" t="str">
        <f ca="1">VLOOKUP(Q56,'States and Locations'!$A$1:$B$26,2)</f>
        <v>Hawaii</v>
      </c>
      <c r="S56">
        <f ca="1">VLOOKUP(Q56,'States and Locations'!$A$1:$D$26,3)</f>
        <v>20.95</v>
      </c>
      <c r="T56">
        <f ca="1">VLOOKUP(Q56,'States and Locations'!$A$1:$D$26,4)</f>
        <v>-157.2833</v>
      </c>
      <c r="U56">
        <f t="shared" ca="1" si="8"/>
        <v>5</v>
      </c>
      <c r="V56" t="str">
        <f ca="1">VLOOKUP('Master Sheet'!E56,'Code Options'!$A$1:$R$7,10)</f>
        <v>Hab_enhancement</v>
      </c>
      <c r="W56">
        <f t="shared" ca="1" si="9"/>
        <v>2</v>
      </c>
      <c r="X56" t="str">
        <f ca="1">VLOOKUP('Master Sheet'!E56,'Code Options'!$A$1:$R$7,11)</f>
        <v>Rec_Fish</v>
      </c>
      <c r="Y56">
        <f t="shared" ca="1" si="10"/>
        <v>1</v>
      </c>
      <c r="Z56" t="str">
        <f ca="1">VLOOKUP('Master Sheet'!E56,'Code Options'!$A$1:$R$7,12)</f>
        <v>AR_proj_plan_mngrs</v>
      </c>
    </row>
    <row r="57" spans="1:26" x14ac:dyDescent="0.2">
      <c r="A57">
        <f t="shared" ca="1" si="0"/>
        <v>6</v>
      </c>
      <c r="B57" t="str">
        <f ca="1">VLOOKUP('Master Sheet'!A57,'Code Options'!$A$1:$B$7,2)</f>
        <v>Tires/Rubber</v>
      </c>
      <c r="C57">
        <f t="shared" ca="1" si="1"/>
        <v>2</v>
      </c>
      <c r="D57" t="str">
        <f ca="1">VLOOKUP('Master Sheet'!C57,'Code Options'!$A$1:$R$7,3)</f>
        <v>Pro</v>
      </c>
      <c r="E57">
        <f t="shared" ca="1" si="2"/>
        <v>1</v>
      </c>
      <c r="F57" t="str">
        <f ca="1">VLOOKUP('Master Sheet'!E57,'Code Options'!$A$1:$R$7,4)</f>
        <v>Will</v>
      </c>
      <c r="G57">
        <f t="shared" ca="1" si="3"/>
        <v>1</v>
      </c>
      <c r="H57" t="str">
        <f ca="1">VLOOKUP('Master Sheet'!E57,'Code Options'!$A$1:$R$7,5)</f>
        <v>Will</v>
      </c>
      <c r="I57">
        <f t="shared" ca="1" si="4"/>
        <v>2</v>
      </c>
      <c r="J57" t="str">
        <f ca="1">VLOOKUP('Master Sheet'!G57,'Code Options'!$A$1:$R$7,6)</f>
        <v>County/Local</v>
      </c>
      <c r="K57">
        <f t="shared" ca="1" si="5"/>
        <v>2</v>
      </c>
      <c r="L57" t="str">
        <f ca="1">VLOOKUP('Master Sheet'!I57,'Code Options'!$A$1:$R$7,7)</f>
        <v>Production</v>
      </c>
      <c r="M57">
        <f t="shared" ca="1" si="6"/>
        <v>5</v>
      </c>
      <c r="N57" t="str">
        <f ca="1">VLOOKUP('Master Sheet'!K57,'Code Options'!$A$1:$R$7,8)</f>
        <v>Comm.Fish.Mngmt</v>
      </c>
      <c r="O57">
        <f t="shared" ca="1" si="7"/>
        <v>4</v>
      </c>
      <c r="P57" t="str">
        <f ca="1">VLOOKUP('Master Sheet'!E57,'Code Options'!$A$1:$R$7,9)</f>
        <v>State_Code</v>
      </c>
      <c r="Q57" cm="1">
        <f t="array" aca="1" ref="Q57" ca="1">_xlfn.IFS(P57 ="State_Plan", RANDBETWEEN(1,23), P57 ="State_Code", RANDBETWEEN(1,23), P57 = "Fed_Code", 99, P57 = "Summ_Article", 999, P57 = "Guide", 999)</f>
        <v>5</v>
      </c>
      <c r="R57" t="str">
        <f ca="1">VLOOKUP(Q57,'States and Locations'!$A$1:$B$26,2)</f>
        <v>Connecticut</v>
      </c>
      <c r="S57">
        <f ca="1">VLOOKUP(Q57,'States and Locations'!$A$1:$D$26,3)</f>
        <v>41.6</v>
      </c>
      <c r="T57">
        <f ca="1">VLOOKUP(Q57,'States and Locations'!$A$1:$D$26,4)</f>
        <v>-72.7</v>
      </c>
      <c r="U57">
        <f t="shared" ca="1" si="8"/>
        <v>4</v>
      </c>
      <c r="V57" t="str">
        <f ca="1">VLOOKUP('Master Sheet'!E57,'Code Options'!$A$1:$R$7,10)</f>
        <v>Hab_enhancement</v>
      </c>
      <c r="W57">
        <f t="shared" ca="1" si="9"/>
        <v>2</v>
      </c>
      <c r="X57" t="str">
        <f ca="1">VLOOKUP('Master Sheet'!E57,'Code Options'!$A$1:$R$7,11)</f>
        <v>Rec_Fish</v>
      </c>
      <c r="Y57">
        <f t="shared" ca="1" si="10"/>
        <v>2</v>
      </c>
      <c r="Z57" t="str">
        <f ca="1">VLOOKUP('Master Sheet'!E57,'Code Options'!$A$1:$R$7,12)</f>
        <v>AR_proj_plan_mngrs</v>
      </c>
    </row>
    <row r="58" spans="1:26" x14ac:dyDescent="0.2">
      <c r="A58">
        <f t="shared" ca="1" si="0"/>
        <v>3</v>
      </c>
      <c r="B58" t="str">
        <f ca="1">VLOOKUP('Master Sheet'!A58,'Code Options'!$A$1:$B$7,2)</f>
        <v>Metal</v>
      </c>
      <c r="C58">
        <f t="shared" ca="1" si="1"/>
        <v>2</v>
      </c>
      <c r="D58" t="str">
        <f ca="1">VLOOKUP('Master Sheet'!C58,'Code Options'!$A$1:$R$7,3)</f>
        <v>Pro</v>
      </c>
      <c r="E58">
        <f t="shared" ca="1" si="2"/>
        <v>1</v>
      </c>
      <c r="F58" t="str">
        <f ca="1">VLOOKUP('Master Sheet'!E58,'Code Options'!$A$1:$R$7,4)</f>
        <v>Will</v>
      </c>
      <c r="G58">
        <f t="shared" ca="1" si="3"/>
        <v>3</v>
      </c>
      <c r="H58" t="str">
        <f ca="1">VLOOKUP('Master Sheet'!E58,'Code Options'!$A$1:$R$7,5)</f>
        <v>Will</v>
      </c>
      <c r="I58">
        <f t="shared" ca="1" si="4"/>
        <v>4</v>
      </c>
      <c r="J58" t="str">
        <f ca="1">VLOOKUP('Master Sheet'!G58,'Code Options'!$A$1:$R$7,6)</f>
        <v>Regional</v>
      </c>
      <c r="K58">
        <f t="shared" ca="1" si="5"/>
        <v>3</v>
      </c>
      <c r="L58" t="str">
        <f ca="1">VLOOKUP('Master Sheet'!I58,'Code Options'!$A$1:$R$7,7)</f>
        <v>Biodiversity</v>
      </c>
      <c r="M58">
        <f t="shared" ca="1" si="6"/>
        <v>5</v>
      </c>
      <c r="N58" t="str">
        <f ca="1">VLOOKUP('Master Sheet'!K58,'Code Options'!$A$1:$R$7,8)</f>
        <v>Rec.Fish.Mngmt</v>
      </c>
      <c r="O58">
        <f t="shared" ca="1" si="7"/>
        <v>5</v>
      </c>
      <c r="P58" t="str">
        <f ca="1">VLOOKUP('Master Sheet'!E58,'Code Options'!$A$1:$R$7,9)</f>
        <v>State_Code</v>
      </c>
      <c r="Q58" cm="1">
        <f t="array" aca="1" ref="Q58" ca="1">_xlfn.IFS(P58 ="State_Plan", RANDBETWEEN(1,23), P58 ="State_Code", RANDBETWEEN(1,23), P58 = "Fed_Code", 99, P58 = "Summ_Article", 999, P58 = "Guide", 999)</f>
        <v>7</v>
      </c>
      <c r="R58" t="str">
        <f ca="1">VLOOKUP(Q58,'States and Locations'!$A$1:$B$26,2)</f>
        <v>New Jersey</v>
      </c>
      <c r="S58">
        <f ca="1">VLOOKUP(Q58,'States and Locations'!$A$1:$D$26,3)</f>
        <v>39.833300000000001</v>
      </c>
      <c r="T58">
        <f ca="1">VLOOKUP(Q58,'States and Locations'!$A$1:$D$26,4)</f>
        <v>-74.866699999999994</v>
      </c>
      <c r="U58">
        <f t="shared" ca="1" si="8"/>
        <v>1</v>
      </c>
      <c r="V58" t="str">
        <f ca="1">VLOOKUP('Master Sheet'!E58,'Code Options'!$A$1:$R$7,10)</f>
        <v>Hab_enhancement</v>
      </c>
      <c r="W58">
        <f t="shared" ca="1" si="9"/>
        <v>4</v>
      </c>
      <c r="X58" t="str">
        <f ca="1">VLOOKUP('Master Sheet'!E58,'Code Options'!$A$1:$R$7,11)</f>
        <v>Rec_Fish</v>
      </c>
      <c r="Y58">
        <f t="shared" ca="1" si="10"/>
        <v>5</v>
      </c>
      <c r="Z58" t="str">
        <f ca="1">VLOOKUP('Master Sheet'!E58,'Code Options'!$A$1:$R$7,12)</f>
        <v>AR_proj_plan_mngrs</v>
      </c>
    </row>
    <row r="59" spans="1:26" x14ac:dyDescent="0.2">
      <c r="A59">
        <f t="shared" ca="1" si="0"/>
        <v>6</v>
      </c>
      <c r="B59" t="str">
        <f ca="1">VLOOKUP('Master Sheet'!A59,'Code Options'!$A$1:$B$7,2)</f>
        <v>Tires/Rubber</v>
      </c>
      <c r="C59">
        <f t="shared" ca="1" si="1"/>
        <v>1</v>
      </c>
      <c r="D59" t="str">
        <f ca="1">VLOOKUP('Master Sheet'!C59,'Code Options'!$A$1:$R$7,3)</f>
        <v>Retro</v>
      </c>
      <c r="E59">
        <f t="shared" ca="1" si="2"/>
        <v>5</v>
      </c>
      <c r="F59" t="str">
        <f ca="1">VLOOKUP('Master Sheet'!E59,'Code Options'!$A$1:$R$7,4)</f>
        <v>Nick</v>
      </c>
      <c r="G59">
        <f t="shared" ca="1" si="3"/>
        <v>2</v>
      </c>
      <c r="H59">
        <f ca="1">VLOOKUP('Master Sheet'!E59,'Code Options'!$A$1:$R$7,5)</f>
        <v>0</v>
      </c>
      <c r="I59">
        <f t="shared" ca="1" si="4"/>
        <v>3</v>
      </c>
      <c r="J59" t="str">
        <f ca="1">VLOOKUP('Master Sheet'!G59,'Code Options'!$A$1:$R$7,6)</f>
        <v>State</v>
      </c>
      <c r="K59">
        <f t="shared" ca="1" si="5"/>
        <v>2</v>
      </c>
      <c r="L59" t="str">
        <f ca="1">VLOOKUP('Master Sheet'!I59,'Code Options'!$A$1:$R$7,7)</f>
        <v>Aggregation</v>
      </c>
      <c r="M59">
        <f t="shared" ca="1" si="6"/>
        <v>1</v>
      </c>
      <c r="N59" t="str">
        <f ca="1">VLOOKUP('Master Sheet'!K59,'Code Options'!$A$1:$R$7,8)</f>
        <v>Comm.Fish.Mngmt</v>
      </c>
      <c r="O59">
        <f t="shared" ca="1" si="7"/>
        <v>2</v>
      </c>
      <c r="P59" t="str">
        <f ca="1">VLOOKUP('Master Sheet'!E59,'Code Options'!$A$1:$R$7,9)</f>
        <v>Guide</v>
      </c>
      <c r="Q59" cm="1">
        <f t="array" aca="1" ref="Q59" ca="1">_xlfn.IFS(P59 ="State_Plan", RANDBETWEEN(1,23), P59 ="State_Code", RANDBETWEEN(1,23), P59 = "Fed_Code", 99, P59 = "Summ_Article", 999, P59 = "Guide", 999)</f>
        <v>999</v>
      </c>
      <c r="R59" t="str">
        <f ca="1">VLOOKUP(Q59,'States and Locations'!$A$1:$B$26,2)</f>
        <v>UNK</v>
      </c>
      <c r="S59">
        <f ca="1">VLOOKUP(Q59,'States and Locations'!$A$1:$D$26,3)</f>
        <v>25</v>
      </c>
      <c r="T59">
        <f ca="1">VLOOKUP(Q59,'States and Locations'!$A$1:$D$26,4)</f>
        <v>-90</v>
      </c>
      <c r="U59">
        <f t="shared" ca="1" si="8"/>
        <v>3</v>
      </c>
      <c r="V59" t="str">
        <f ca="1">VLOOKUP('Master Sheet'!E59,'Code Options'!$A$1:$R$7,10)</f>
        <v>Wave_attenuation</v>
      </c>
      <c r="W59">
        <f t="shared" ca="1" si="9"/>
        <v>5</v>
      </c>
      <c r="X59" t="str">
        <f ca="1">VLOOKUP('Master Sheet'!E59,'Code Options'!$A$1:$R$7,11)</f>
        <v>Scuba</v>
      </c>
      <c r="Y59">
        <f t="shared" ca="1" si="10"/>
        <v>4</v>
      </c>
      <c r="Z59" t="str">
        <f ca="1">VLOOKUP('Master Sheet'!E59,'Code Options'!$A$1:$R$7,12)</f>
        <v>anglers</v>
      </c>
    </row>
    <row r="60" spans="1:26" x14ac:dyDescent="0.2">
      <c r="A60">
        <f t="shared" ca="1" si="0"/>
        <v>4</v>
      </c>
      <c r="B60" t="str">
        <f ca="1">VLOOKUP('Master Sheet'!A60,'Code Options'!$A$1:$B$7,2)</f>
        <v>Other</v>
      </c>
      <c r="C60">
        <f t="shared" ca="1" si="1"/>
        <v>3</v>
      </c>
      <c r="D60" t="str">
        <f ca="1">VLOOKUP('Master Sheet'!C60,'Code Options'!$A$1:$R$7,3)</f>
        <v>Unsure</v>
      </c>
      <c r="E60">
        <f t="shared" ca="1" si="2"/>
        <v>2</v>
      </c>
      <c r="F60" t="str">
        <f ca="1">VLOOKUP('Master Sheet'!E60,'Code Options'!$A$1:$R$7,4)</f>
        <v>Cyndi</v>
      </c>
      <c r="G60">
        <f t="shared" ca="1" si="3"/>
        <v>1</v>
      </c>
      <c r="H60" t="str">
        <f ca="1">VLOOKUP('Master Sheet'!E60,'Code Options'!$A$1:$R$7,5)</f>
        <v>Cyndi</v>
      </c>
      <c r="I60">
        <f t="shared" ca="1" si="4"/>
        <v>3</v>
      </c>
      <c r="J60" t="str">
        <f ca="1">VLOOKUP('Master Sheet'!G60,'Code Options'!$A$1:$R$7,6)</f>
        <v>County/Local</v>
      </c>
      <c r="K60">
        <f t="shared" ca="1" si="5"/>
        <v>3</v>
      </c>
      <c r="L60" t="str">
        <f ca="1">VLOOKUP('Master Sheet'!I60,'Code Options'!$A$1:$R$7,7)</f>
        <v>Aggregation</v>
      </c>
      <c r="M60">
        <f t="shared" ca="1" si="6"/>
        <v>2</v>
      </c>
      <c r="N60" t="str">
        <f ca="1">VLOOKUP('Master Sheet'!K60,'Code Options'!$A$1:$R$7,8)</f>
        <v>Rec.Fish.Mngmt</v>
      </c>
      <c r="O60">
        <f t="shared" ca="1" si="7"/>
        <v>4</v>
      </c>
      <c r="P60" t="str">
        <f ca="1">VLOOKUP('Master Sheet'!E60,'Code Options'!$A$1:$R$7,9)</f>
        <v>Fed_Code</v>
      </c>
      <c r="Q60" cm="1">
        <f t="array" aca="1" ref="Q60" ca="1">_xlfn.IFS(P60 ="State_Plan", RANDBETWEEN(1,23), P60 ="State_Code", RANDBETWEEN(1,23), P60 = "Fed_Code", 99, P60 = "Summ_Article", 999, P60 = "Guide", 999)</f>
        <v>99</v>
      </c>
      <c r="R60" t="str">
        <f ca="1">VLOOKUP(Q60,'States and Locations'!$A$1:$B$26,2)</f>
        <v>National</v>
      </c>
      <c r="S60">
        <f ca="1">VLOOKUP(Q60,'States and Locations'!$A$1:$D$26,3)</f>
        <v>39.833300000000001</v>
      </c>
      <c r="T60">
        <f ca="1">VLOOKUP(Q60,'States and Locations'!$A$1:$D$26,4)</f>
        <v>-98.583299999999994</v>
      </c>
      <c r="U60">
        <f t="shared" ca="1" si="8"/>
        <v>3</v>
      </c>
      <c r="V60" t="str">
        <f ca="1">VLOOKUP('Master Sheet'!E60,'Code Options'!$A$1:$R$7,10)</f>
        <v>Disposal</v>
      </c>
      <c r="W60">
        <f t="shared" ca="1" si="9"/>
        <v>3</v>
      </c>
      <c r="X60" t="str">
        <f ca="1">VLOOKUP('Master Sheet'!E60,'Code Options'!$A$1:$R$7,11)</f>
        <v>Comm_Fish</v>
      </c>
      <c r="Y60">
        <f t="shared" ca="1" si="10"/>
        <v>4</v>
      </c>
      <c r="Z60" t="str">
        <f ca="1">VLOOKUP('Master Sheet'!E60,'Code Options'!$A$1:$R$7,12)</f>
        <v>AS_constructors</v>
      </c>
    </row>
    <row r="61" spans="1:26" x14ac:dyDescent="0.2">
      <c r="A61">
        <f t="shared" ca="1" si="0"/>
        <v>5</v>
      </c>
      <c r="B61" t="str">
        <f ca="1">VLOOKUP('Master Sheet'!A61,'Code Options'!$A$1:$B$7,2)</f>
        <v>Rock</v>
      </c>
      <c r="C61">
        <f t="shared" ca="1" si="1"/>
        <v>3</v>
      </c>
      <c r="D61" t="str">
        <f ca="1">VLOOKUP('Master Sheet'!C61,'Code Options'!$A$1:$R$7,3)</f>
        <v>Unsure</v>
      </c>
      <c r="E61">
        <f t="shared" ca="1" si="2"/>
        <v>1</v>
      </c>
      <c r="F61" t="str">
        <f ca="1">VLOOKUP('Master Sheet'!E61,'Code Options'!$A$1:$R$7,4)</f>
        <v>Will</v>
      </c>
      <c r="G61">
        <f t="shared" ca="1" si="3"/>
        <v>2</v>
      </c>
      <c r="H61" t="str">
        <f ca="1">VLOOKUP('Master Sheet'!E61,'Code Options'!$A$1:$R$7,5)</f>
        <v>Will</v>
      </c>
      <c r="I61">
        <f t="shared" ca="1" si="4"/>
        <v>4</v>
      </c>
      <c r="J61" t="str">
        <f ca="1">VLOOKUP('Master Sheet'!G61,'Code Options'!$A$1:$R$7,6)</f>
        <v>State</v>
      </c>
      <c r="K61">
        <f t="shared" ca="1" si="5"/>
        <v>4</v>
      </c>
      <c r="L61" t="str">
        <f ca="1">VLOOKUP('Master Sheet'!I61,'Code Options'!$A$1:$R$7,7)</f>
        <v>Biodiversity</v>
      </c>
      <c r="M61">
        <f t="shared" ca="1" si="6"/>
        <v>1</v>
      </c>
      <c r="N61" t="str">
        <f ca="1">VLOOKUP('Master Sheet'!K61,'Code Options'!$A$1:$R$7,8)</f>
        <v>Creation of AR Mat</v>
      </c>
      <c r="O61">
        <f t="shared" ca="1" si="7"/>
        <v>1</v>
      </c>
      <c r="P61" t="str">
        <f ca="1">VLOOKUP('Master Sheet'!E61,'Code Options'!$A$1:$R$7,9)</f>
        <v>State_Code</v>
      </c>
      <c r="Q61" cm="1">
        <f t="array" aca="1" ref="Q61" ca="1">_xlfn.IFS(P61 ="State_Plan", RANDBETWEEN(1,23), P61 ="State_Code", RANDBETWEEN(1,23), P61 = "Fed_Code", 99, P61 = "Summ_Article", 999, P61 = "Guide", 999)</f>
        <v>17</v>
      </c>
      <c r="R61" t="str">
        <f ca="1">VLOOKUP(Q61,'States and Locations'!$A$1:$B$26,2)</f>
        <v>Mississippi</v>
      </c>
      <c r="S61">
        <f ca="1">VLOOKUP(Q61,'States and Locations'!$A$1:$D$26,3)</f>
        <v>32.7333</v>
      </c>
      <c r="T61">
        <f ca="1">VLOOKUP(Q61,'States and Locations'!$A$1:$D$26,4)</f>
        <v>-89.666700000000006</v>
      </c>
      <c r="U61">
        <f t="shared" ca="1" si="8"/>
        <v>5</v>
      </c>
      <c r="V61" t="str">
        <f ca="1">VLOOKUP('Master Sheet'!E61,'Code Options'!$A$1:$R$7,10)</f>
        <v>Hab_enhancement</v>
      </c>
      <c r="W61">
        <f t="shared" ca="1" si="9"/>
        <v>3</v>
      </c>
      <c r="X61" t="str">
        <f ca="1">VLOOKUP('Master Sheet'!E61,'Code Options'!$A$1:$R$7,11)</f>
        <v>Rec_Fish</v>
      </c>
      <c r="Y61">
        <f t="shared" ca="1" si="10"/>
        <v>1</v>
      </c>
      <c r="Z61" t="str">
        <f ca="1">VLOOKUP('Master Sheet'!E61,'Code Options'!$A$1:$R$7,12)</f>
        <v>AR_proj_plan_mngrs</v>
      </c>
    </row>
    <row r="62" spans="1:26" x14ac:dyDescent="0.2">
      <c r="A62">
        <f t="shared" ca="1" si="0"/>
        <v>6</v>
      </c>
      <c r="B62" t="str">
        <f ca="1">VLOOKUP('Master Sheet'!A62,'Code Options'!$A$1:$B$7,2)</f>
        <v>Tires/Rubber</v>
      </c>
      <c r="C62">
        <f t="shared" ca="1" si="1"/>
        <v>2</v>
      </c>
      <c r="D62" t="str">
        <f ca="1">VLOOKUP('Master Sheet'!C62,'Code Options'!$A$1:$R$7,3)</f>
        <v>Pro</v>
      </c>
      <c r="E62">
        <f t="shared" ca="1" si="2"/>
        <v>1</v>
      </c>
      <c r="F62" t="str">
        <f ca="1">VLOOKUP('Master Sheet'!E62,'Code Options'!$A$1:$R$7,4)</f>
        <v>Will</v>
      </c>
      <c r="G62">
        <f t="shared" ca="1" si="3"/>
        <v>1</v>
      </c>
      <c r="H62" t="str">
        <f ca="1">VLOOKUP('Master Sheet'!E62,'Code Options'!$A$1:$R$7,5)</f>
        <v>Will</v>
      </c>
      <c r="I62">
        <f t="shared" ca="1" si="4"/>
        <v>1</v>
      </c>
      <c r="J62" t="str">
        <f ca="1">VLOOKUP('Master Sheet'!G62,'Code Options'!$A$1:$R$7,6)</f>
        <v>County/Local</v>
      </c>
      <c r="K62">
        <f t="shared" ca="1" si="5"/>
        <v>3</v>
      </c>
      <c r="L62" t="str">
        <f ca="1">VLOOKUP('Master Sheet'!I62,'Code Options'!$A$1:$R$7,7)</f>
        <v>Habitat</v>
      </c>
      <c r="M62">
        <f t="shared" ca="1" si="6"/>
        <v>5</v>
      </c>
      <c r="N62" t="str">
        <f ca="1">VLOOKUP('Master Sheet'!K62,'Code Options'!$A$1:$R$7,8)</f>
        <v>Rec.Fish.Mngmt</v>
      </c>
      <c r="O62">
        <f t="shared" ca="1" si="7"/>
        <v>1</v>
      </c>
      <c r="P62" t="str">
        <f ca="1">VLOOKUP('Master Sheet'!E62,'Code Options'!$A$1:$R$7,9)</f>
        <v>State_Code</v>
      </c>
      <c r="Q62" cm="1">
        <f t="array" aca="1" ref="Q62" ca="1">_xlfn.IFS(P62 ="State_Plan", RANDBETWEEN(1,23), P62 ="State_Code", RANDBETWEEN(1,23), P62 = "Fed_Code", 99, P62 = "Summ_Article", 999, P62 = "Guide", 999)</f>
        <v>1</v>
      </c>
      <c r="R62" t="str">
        <f ca="1">VLOOKUP(Q62,'States and Locations'!$A$1:$B$26,2)</f>
        <v>Maine</v>
      </c>
      <c r="S62">
        <f ca="1">VLOOKUP(Q62,'States and Locations'!$A$1:$D$26,3)</f>
        <v>45.366700000000002</v>
      </c>
      <c r="T62">
        <f ca="1">VLOOKUP(Q62,'States and Locations'!$A$1:$D$26,4)</f>
        <v>-69.2333</v>
      </c>
      <c r="U62">
        <f t="shared" ca="1" si="8"/>
        <v>5</v>
      </c>
      <c r="V62" t="str">
        <f ca="1">VLOOKUP('Master Sheet'!E62,'Code Options'!$A$1:$R$7,10)</f>
        <v>Hab_enhancement</v>
      </c>
      <c r="W62">
        <f t="shared" ca="1" si="9"/>
        <v>3</v>
      </c>
      <c r="X62" t="str">
        <f ca="1">VLOOKUP('Master Sheet'!E62,'Code Options'!$A$1:$R$7,11)</f>
        <v>Rec_Fish</v>
      </c>
      <c r="Y62">
        <f t="shared" ca="1" si="10"/>
        <v>3</v>
      </c>
      <c r="Z62" t="str">
        <f ca="1">VLOOKUP('Master Sheet'!E62,'Code Options'!$A$1:$R$7,12)</f>
        <v>AR_proj_plan_mngrs</v>
      </c>
    </row>
    <row r="63" spans="1:26" x14ac:dyDescent="0.2">
      <c r="A63">
        <f t="shared" ca="1" si="0"/>
        <v>4</v>
      </c>
      <c r="B63" t="str">
        <f ca="1">VLOOKUP('Master Sheet'!A63,'Code Options'!$A$1:$B$7,2)</f>
        <v>Other</v>
      </c>
      <c r="C63">
        <f t="shared" ca="1" si="1"/>
        <v>1</v>
      </c>
      <c r="D63" t="str">
        <f ca="1">VLOOKUP('Master Sheet'!C63,'Code Options'!$A$1:$R$7,3)</f>
        <v>Retro</v>
      </c>
      <c r="E63">
        <f t="shared" ca="1" si="2"/>
        <v>5</v>
      </c>
      <c r="F63" t="str">
        <f ca="1">VLOOKUP('Master Sheet'!E63,'Code Options'!$A$1:$R$7,4)</f>
        <v>Nick</v>
      </c>
      <c r="G63">
        <f t="shared" ca="1" si="3"/>
        <v>2</v>
      </c>
      <c r="H63">
        <f ca="1">VLOOKUP('Master Sheet'!E63,'Code Options'!$A$1:$R$7,5)</f>
        <v>0</v>
      </c>
      <c r="I63">
        <f t="shared" ca="1" si="4"/>
        <v>4</v>
      </c>
      <c r="J63" t="str">
        <f ca="1">VLOOKUP('Master Sheet'!G63,'Code Options'!$A$1:$R$7,6)</f>
        <v>State</v>
      </c>
      <c r="K63">
        <f t="shared" ca="1" si="5"/>
        <v>3</v>
      </c>
      <c r="L63" t="str">
        <f ca="1">VLOOKUP('Master Sheet'!I63,'Code Options'!$A$1:$R$7,7)</f>
        <v>Biodiversity</v>
      </c>
      <c r="M63">
        <f t="shared" ca="1" si="6"/>
        <v>3</v>
      </c>
      <c r="N63" t="str">
        <f ca="1">VLOOKUP('Master Sheet'!K63,'Code Options'!$A$1:$R$7,8)</f>
        <v>Rec.Fish.Mngmt</v>
      </c>
      <c r="O63">
        <f t="shared" ca="1" si="7"/>
        <v>2</v>
      </c>
      <c r="P63" t="str">
        <f ca="1">VLOOKUP('Master Sheet'!E63,'Code Options'!$A$1:$R$7,9)</f>
        <v>Guide</v>
      </c>
      <c r="Q63" cm="1">
        <f t="array" aca="1" ref="Q63" ca="1">_xlfn.IFS(P63 ="State_Plan", RANDBETWEEN(1,23), P63 ="State_Code", RANDBETWEEN(1,23), P63 = "Fed_Code", 99, P63 = "Summ_Article", 999, P63 = "Guide", 999)</f>
        <v>999</v>
      </c>
      <c r="R63" t="str">
        <f ca="1">VLOOKUP(Q63,'States and Locations'!$A$1:$B$26,2)</f>
        <v>UNK</v>
      </c>
      <c r="S63">
        <f ca="1">VLOOKUP(Q63,'States and Locations'!$A$1:$D$26,3)</f>
        <v>25</v>
      </c>
      <c r="T63">
        <f ca="1">VLOOKUP(Q63,'States and Locations'!$A$1:$D$26,4)</f>
        <v>-90</v>
      </c>
      <c r="U63">
        <f t="shared" ca="1" si="8"/>
        <v>1</v>
      </c>
      <c r="V63" t="str">
        <f ca="1">VLOOKUP('Master Sheet'!E63,'Code Options'!$A$1:$R$7,10)</f>
        <v>Wave_attenuation</v>
      </c>
      <c r="W63">
        <f t="shared" ca="1" si="9"/>
        <v>4</v>
      </c>
      <c r="X63" t="str">
        <f ca="1">VLOOKUP('Master Sheet'!E63,'Code Options'!$A$1:$R$7,11)</f>
        <v>Scuba</v>
      </c>
      <c r="Y63">
        <f t="shared" ca="1" si="10"/>
        <v>2</v>
      </c>
      <c r="Z63" t="str">
        <f ca="1">VLOOKUP('Master Sheet'!E63,'Code Options'!$A$1:$R$7,12)</f>
        <v>anglers</v>
      </c>
    </row>
    <row r="64" spans="1:26" x14ac:dyDescent="0.2">
      <c r="A64">
        <f t="shared" ca="1" si="0"/>
        <v>6</v>
      </c>
      <c r="B64" t="str">
        <f ca="1">VLOOKUP('Master Sheet'!A64,'Code Options'!$A$1:$B$7,2)</f>
        <v>Tires/Rubber</v>
      </c>
      <c r="C64">
        <f t="shared" ca="1" si="1"/>
        <v>3</v>
      </c>
      <c r="D64" t="str">
        <f ca="1">VLOOKUP('Master Sheet'!C64,'Code Options'!$A$1:$R$7,3)</f>
        <v>Unsure</v>
      </c>
      <c r="E64">
        <f t="shared" ca="1" si="2"/>
        <v>2</v>
      </c>
      <c r="F64" t="str">
        <f ca="1">VLOOKUP('Master Sheet'!E64,'Code Options'!$A$1:$R$7,4)</f>
        <v>Cyndi</v>
      </c>
      <c r="G64">
        <f t="shared" ca="1" si="3"/>
        <v>2</v>
      </c>
      <c r="H64" t="str">
        <f ca="1">VLOOKUP('Master Sheet'!E64,'Code Options'!$A$1:$R$7,5)</f>
        <v>Cyndi</v>
      </c>
      <c r="I64">
        <f t="shared" ca="1" si="4"/>
        <v>3</v>
      </c>
      <c r="J64" t="str">
        <f ca="1">VLOOKUP('Master Sheet'!G64,'Code Options'!$A$1:$R$7,6)</f>
        <v>State</v>
      </c>
      <c r="K64">
        <f t="shared" ca="1" si="5"/>
        <v>2</v>
      </c>
      <c r="L64" t="str">
        <f ca="1">VLOOKUP('Master Sheet'!I64,'Code Options'!$A$1:$R$7,7)</f>
        <v>Aggregation</v>
      </c>
      <c r="M64">
        <f t="shared" ca="1" si="6"/>
        <v>5</v>
      </c>
      <c r="N64" t="str">
        <f ca="1">VLOOKUP('Master Sheet'!K64,'Code Options'!$A$1:$R$7,8)</f>
        <v>Comm.Fish.Mngmt</v>
      </c>
      <c r="O64">
        <f t="shared" ca="1" si="7"/>
        <v>2</v>
      </c>
      <c r="P64" t="str">
        <f ca="1">VLOOKUP('Master Sheet'!E64,'Code Options'!$A$1:$R$7,9)</f>
        <v>Fed_Code</v>
      </c>
      <c r="Q64" cm="1">
        <f t="array" aca="1" ref="Q64" ca="1">_xlfn.IFS(P64 ="State_Plan", RANDBETWEEN(1,23), P64 ="State_Code", RANDBETWEEN(1,23), P64 = "Fed_Code", 99, P64 = "Summ_Article", 999, P64 = "Guide", 999)</f>
        <v>99</v>
      </c>
      <c r="R64" t="str">
        <f ca="1">VLOOKUP(Q64,'States and Locations'!$A$1:$B$26,2)</f>
        <v>National</v>
      </c>
      <c r="S64">
        <f ca="1">VLOOKUP(Q64,'States and Locations'!$A$1:$D$26,3)</f>
        <v>39.833300000000001</v>
      </c>
      <c r="T64">
        <f ca="1">VLOOKUP(Q64,'States and Locations'!$A$1:$D$26,4)</f>
        <v>-98.583299999999994</v>
      </c>
      <c r="U64">
        <f t="shared" ca="1" si="8"/>
        <v>4</v>
      </c>
      <c r="V64" t="str">
        <f ca="1">VLOOKUP('Master Sheet'!E64,'Code Options'!$A$1:$R$7,10)</f>
        <v>Disposal</v>
      </c>
      <c r="W64">
        <f t="shared" ca="1" si="9"/>
        <v>5</v>
      </c>
      <c r="X64" t="str">
        <f ca="1">VLOOKUP('Master Sheet'!E64,'Code Options'!$A$1:$R$7,11)</f>
        <v>Comm_Fish</v>
      </c>
      <c r="Y64">
        <f t="shared" ca="1" si="10"/>
        <v>4</v>
      </c>
      <c r="Z64" t="str">
        <f ca="1">VLOOKUP('Master Sheet'!E64,'Code Options'!$A$1:$R$7,12)</f>
        <v>AS_constructors</v>
      </c>
    </row>
    <row r="65" spans="1:26" x14ac:dyDescent="0.2">
      <c r="A65">
        <f t="shared" ca="1" si="0"/>
        <v>5</v>
      </c>
      <c r="B65" t="str">
        <f ca="1">VLOOKUP('Master Sheet'!A65,'Code Options'!$A$1:$B$7,2)</f>
        <v>Rock</v>
      </c>
      <c r="C65">
        <f t="shared" ca="1" si="1"/>
        <v>1</v>
      </c>
      <c r="D65" t="str">
        <f ca="1">VLOOKUP('Master Sheet'!C65,'Code Options'!$A$1:$R$7,3)</f>
        <v>Retro</v>
      </c>
      <c r="E65">
        <f t="shared" ca="1" si="2"/>
        <v>4</v>
      </c>
      <c r="F65" t="str">
        <f ca="1">VLOOKUP('Master Sheet'!E65,'Code Options'!$A$1:$R$7,4)</f>
        <v>LM</v>
      </c>
      <c r="G65">
        <f t="shared" ca="1" si="3"/>
        <v>3</v>
      </c>
      <c r="H65">
        <f ca="1">VLOOKUP('Master Sheet'!E65,'Code Options'!$A$1:$R$7,5)</f>
        <v>0</v>
      </c>
      <c r="I65">
        <f t="shared" ca="1" si="4"/>
        <v>4</v>
      </c>
      <c r="J65" t="str">
        <f ca="1">VLOOKUP('Master Sheet'!G65,'Code Options'!$A$1:$R$7,6)</f>
        <v>Regional</v>
      </c>
      <c r="K65">
        <f t="shared" ca="1" si="5"/>
        <v>3</v>
      </c>
      <c r="L65" t="str">
        <f ca="1">VLOOKUP('Master Sheet'!I65,'Code Options'!$A$1:$R$7,7)</f>
        <v>Biodiversity</v>
      </c>
      <c r="M65">
        <f t="shared" ca="1" si="6"/>
        <v>3</v>
      </c>
      <c r="N65" t="str">
        <f ca="1">VLOOKUP('Master Sheet'!K65,'Code Options'!$A$1:$R$7,8)</f>
        <v>Rec.Fish.Mngmt</v>
      </c>
      <c r="O65">
        <f t="shared" ca="1" si="7"/>
        <v>5</v>
      </c>
      <c r="P65" t="str">
        <f ca="1">VLOOKUP('Master Sheet'!E65,'Code Options'!$A$1:$R$7,9)</f>
        <v>Summ_Article</v>
      </c>
      <c r="Q65" cm="1">
        <f t="array" aca="1" ref="Q65" ca="1">_xlfn.IFS(P65 ="State_Plan", RANDBETWEEN(1,23), P65 ="State_Code", RANDBETWEEN(1,23), P65 = "Fed_Code", 99, P65 = "Summ_Article", 999, P65 = "Guide", 999)</f>
        <v>999</v>
      </c>
      <c r="R65" t="str">
        <f ca="1">VLOOKUP(Q65,'States and Locations'!$A$1:$B$26,2)</f>
        <v>UNK</v>
      </c>
      <c r="S65">
        <f ca="1">VLOOKUP(Q65,'States and Locations'!$A$1:$D$26,3)</f>
        <v>25</v>
      </c>
      <c r="T65">
        <f ca="1">VLOOKUP(Q65,'States and Locations'!$A$1:$D$26,4)</f>
        <v>-90</v>
      </c>
      <c r="U65">
        <f t="shared" ca="1" si="8"/>
        <v>1</v>
      </c>
      <c r="V65" t="str">
        <f ca="1">VLOOKUP('Master Sheet'!E65,'Code Options'!$A$1:$R$7,10)</f>
        <v>Hab_restoration</v>
      </c>
      <c r="W65">
        <f t="shared" ca="1" si="9"/>
        <v>1</v>
      </c>
      <c r="X65" t="str">
        <f ca="1">VLOOKUP('Master Sheet'!E65,'Code Options'!$A$1:$R$7,11)</f>
        <v>Non-Fish_rec</v>
      </c>
      <c r="Y65">
        <f t="shared" ca="1" si="10"/>
        <v>3</v>
      </c>
      <c r="Z65" t="str">
        <f ca="1">VLOOKUP('Master Sheet'!E65,'Code Options'!$A$1:$R$7,12)</f>
        <v>people_interested</v>
      </c>
    </row>
    <row r="66" spans="1:26" x14ac:dyDescent="0.2">
      <c r="A66">
        <f t="shared" ca="1" si="0"/>
        <v>6</v>
      </c>
      <c r="B66" t="str">
        <f ca="1">VLOOKUP('Master Sheet'!A66,'Code Options'!$A$1:$B$7,2)</f>
        <v>Tires/Rubber</v>
      </c>
      <c r="C66">
        <f t="shared" ca="1" si="1"/>
        <v>3</v>
      </c>
      <c r="D66" t="str">
        <f ca="1">VLOOKUP('Master Sheet'!C66,'Code Options'!$A$1:$R$7,3)</f>
        <v>Unsure</v>
      </c>
      <c r="E66">
        <f t="shared" ca="1" si="2"/>
        <v>1</v>
      </c>
      <c r="F66" t="str">
        <f ca="1">VLOOKUP('Master Sheet'!E66,'Code Options'!$A$1:$R$7,4)</f>
        <v>Will</v>
      </c>
      <c r="G66">
        <f t="shared" ca="1" si="3"/>
        <v>2</v>
      </c>
      <c r="H66" t="str">
        <f ca="1">VLOOKUP('Master Sheet'!E66,'Code Options'!$A$1:$R$7,5)</f>
        <v>Will</v>
      </c>
      <c r="I66">
        <f t="shared" ca="1" si="4"/>
        <v>1</v>
      </c>
      <c r="J66" t="str">
        <f ca="1">VLOOKUP('Master Sheet'!G66,'Code Options'!$A$1:$R$7,6)</f>
        <v>State</v>
      </c>
      <c r="K66">
        <f t="shared" ca="1" si="5"/>
        <v>3</v>
      </c>
      <c r="L66" t="str">
        <f ca="1">VLOOKUP('Master Sheet'!I66,'Code Options'!$A$1:$R$7,7)</f>
        <v>Habitat</v>
      </c>
      <c r="M66">
        <f t="shared" ca="1" si="6"/>
        <v>1</v>
      </c>
      <c r="N66" t="str">
        <f ca="1">VLOOKUP('Master Sheet'!K66,'Code Options'!$A$1:$R$7,8)</f>
        <v>Rec.Fish.Mngmt</v>
      </c>
      <c r="O66">
        <f t="shared" ca="1" si="7"/>
        <v>2</v>
      </c>
      <c r="P66" t="str">
        <f ca="1">VLOOKUP('Master Sheet'!E66,'Code Options'!$A$1:$R$7,9)</f>
        <v>State_Code</v>
      </c>
      <c r="Q66" cm="1">
        <f t="array" aca="1" ref="Q66" ca="1">_xlfn.IFS(P66 ="State_Plan", RANDBETWEEN(1,23), P66 ="State_Code", RANDBETWEEN(1,23), P66 = "Fed_Code", 99, P66 = "Summ_Article", 999, P66 = "Guide", 999)</f>
        <v>12</v>
      </c>
      <c r="R66" t="str">
        <f ca="1">VLOOKUP(Q66,'States and Locations'!$A$1:$B$26,2)</f>
        <v>South Carolina</v>
      </c>
      <c r="S66">
        <f ca="1">VLOOKUP(Q66,'States and Locations'!$A$1:$D$26,3)</f>
        <v>33.833300000000001</v>
      </c>
      <c r="T66">
        <f ca="1">VLOOKUP(Q66,'States and Locations'!$A$1:$D$26,4)</f>
        <v>-81.166700000000006</v>
      </c>
      <c r="U66">
        <f t="shared" ca="1" si="8"/>
        <v>5</v>
      </c>
      <c r="V66" t="str">
        <f ca="1">VLOOKUP('Master Sheet'!E66,'Code Options'!$A$1:$R$7,10)</f>
        <v>Hab_enhancement</v>
      </c>
      <c r="W66">
        <f t="shared" ca="1" si="9"/>
        <v>1</v>
      </c>
      <c r="X66" t="str">
        <f ca="1">VLOOKUP('Master Sheet'!E66,'Code Options'!$A$1:$R$7,11)</f>
        <v>Rec_Fish</v>
      </c>
      <c r="Y66">
        <f t="shared" ca="1" si="10"/>
        <v>5</v>
      </c>
      <c r="Z66" t="str">
        <f ca="1">VLOOKUP('Master Sheet'!E66,'Code Options'!$A$1:$R$7,12)</f>
        <v>AR_proj_plan_mngrs</v>
      </c>
    </row>
    <row r="67" spans="1:26" x14ac:dyDescent="0.2">
      <c r="A67">
        <f t="shared" ref="A67:A130" ca="1" si="11">RANDBETWEEN(1,6)</f>
        <v>3</v>
      </c>
      <c r="B67" t="str">
        <f ca="1">VLOOKUP('Master Sheet'!A67,'Code Options'!$A$1:$B$7,2)</f>
        <v>Metal</v>
      </c>
      <c r="C67">
        <f t="shared" ref="C67:C130" ca="1" si="12">RANDBETWEEN(1,3)</f>
        <v>1</v>
      </c>
      <c r="D67" t="str">
        <f ca="1">VLOOKUP('Master Sheet'!C67,'Code Options'!$A$1:$R$7,3)</f>
        <v>Retro</v>
      </c>
      <c r="E67">
        <f t="shared" ref="E67:E130" ca="1" si="13">RANDBETWEEN(1,5)</f>
        <v>2</v>
      </c>
      <c r="F67" t="str">
        <f ca="1">VLOOKUP('Master Sheet'!E67,'Code Options'!$A$1:$R$7,4)</f>
        <v>Cyndi</v>
      </c>
      <c r="G67">
        <f t="shared" ref="G67:G130" ca="1" si="14">RANDBETWEEN(1,3)</f>
        <v>1</v>
      </c>
      <c r="H67" t="str">
        <f ca="1">VLOOKUP('Master Sheet'!E67,'Code Options'!$A$1:$R$7,5)</f>
        <v>Cyndi</v>
      </c>
      <c r="I67">
        <f t="shared" ref="I67:I130" ca="1" si="15">RANDBETWEEN(1,4)</f>
        <v>2</v>
      </c>
      <c r="J67" t="str">
        <f ca="1">VLOOKUP('Master Sheet'!G67,'Code Options'!$A$1:$R$7,6)</f>
        <v>County/Local</v>
      </c>
      <c r="K67">
        <f t="shared" ref="K67:K130" ca="1" si="16">RANDBETWEEN(1,4)</f>
        <v>2</v>
      </c>
      <c r="L67" t="str">
        <f ca="1">VLOOKUP('Master Sheet'!I67,'Code Options'!$A$1:$R$7,7)</f>
        <v>Production</v>
      </c>
      <c r="M67">
        <f t="shared" ref="M67:M130" ca="1" si="17">RANDBETWEEN(1,5)</f>
        <v>4</v>
      </c>
      <c r="N67" t="str">
        <f ca="1">VLOOKUP('Master Sheet'!K67,'Code Options'!$A$1:$R$7,8)</f>
        <v>Comm.Fish.Mngmt</v>
      </c>
      <c r="O67">
        <f t="shared" ref="O67:O130" ca="1" si="18">RANDBETWEEN(1,5)</f>
        <v>1</v>
      </c>
      <c r="P67" t="str">
        <f ca="1">VLOOKUP('Master Sheet'!E67,'Code Options'!$A$1:$R$7,9)</f>
        <v>Fed_Code</v>
      </c>
      <c r="Q67" cm="1">
        <f t="array" aca="1" ref="Q67" ca="1">_xlfn.IFS(P67 ="State_Plan", RANDBETWEEN(1,23), P67 ="State_Code", RANDBETWEEN(1,23), P67 = "Fed_Code", 99, P67 = "Summ_Article", 999, P67 = "Guide", 999)</f>
        <v>99</v>
      </c>
      <c r="R67" t="str">
        <f ca="1">VLOOKUP(Q67,'States and Locations'!$A$1:$B$26,2)</f>
        <v>National</v>
      </c>
      <c r="S67">
        <f ca="1">VLOOKUP(Q67,'States and Locations'!$A$1:$D$26,3)</f>
        <v>39.833300000000001</v>
      </c>
      <c r="T67">
        <f ca="1">VLOOKUP(Q67,'States and Locations'!$A$1:$D$26,4)</f>
        <v>-98.583299999999994</v>
      </c>
      <c r="U67">
        <f t="shared" ref="U67:U130" ca="1" si="19">RANDBETWEEN(1,5)</f>
        <v>5</v>
      </c>
      <c r="V67" t="str">
        <f ca="1">VLOOKUP('Master Sheet'!E67,'Code Options'!$A$1:$R$7,10)</f>
        <v>Disposal</v>
      </c>
      <c r="W67">
        <f t="shared" ref="W67:W130" ca="1" si="20">RANDBETWEEN(1,5)</f>
        <v>3</v>
      </c>
      <c r="X67" t="str">
        <f ca="1">VLOOKUP('Master Sheet'!E67,'Code Options'!$A$1:$R$7,11)</f>
        <v>Comm_Fish</v>
      </c>
      <c r="Y67">
        <f t="shared" ref="Y67:Y130" ca="1" si="21">RANDBETWEEN(1,5)</f>
        <v>3</v>
      </c>
      <c r="Z67" t="str">
        <f ca="1">VLOOKUP('Master Sheet'!E67,'Code Options'!$A$1:$R$7,12)</f>
        <v>AS_constructors</v>
      </c>
    </row>
    <row r="68" spans="1:26" x14ac:dyDescent="0.2">
      <c r="A68">
        <f t="shared" ca="1" si="11"/>
        <v>3</v>
      </c>
      <c r="B68" t="str">
        <f ca="1">VLOOKUP('Master Sheet'!A68,'Code Options'!$A$1:$B$7,2)</f>
        <v>Metal</v>
      </c>
      <c r="C68">
        <f t="shared" ca="1" si="12"/>
        <v>1</v>
      </c>
      <c r="D68" t="str">
        <f ca="1">VLOOKUP('Master Sheet'!C68,'Code Options'!$A$1:$R$7,3)</f>
        <v>Retro</v>
      </c>
      <c r="E68">
        <f t="shared" ca="1" si="13"/>
        <v>3</v>
      </c>
      <c r="F68" t="str">
        <f ca="1">VLOOKUP('Master Sheet'!E68,'Code Options'!$A$1:$R$7,4)</f>
        <v>Jon</v>
      </c>
      <c r="G68">
        <f t="shared" ca="1" si="14"/>
        <v>1</v>
      </c>
      <c r="H68" t="str">
        <f ca="1">VLOOKUP('Master Sheet'!E68,'Code Options'!$A$1:$R$7,5)</f>
        <v>Nick</v>
      </c>
      <c r="I68">
        <f t="shared" ca="1" si="15"/>
        <v>1</v>
      </c>
      <c r="J68" t="str">
        <f ca="1">VLOOKUP('Master Sheet'!G68,'Code Options'!$A$1:$R$7,6)</f>
        <v>County/Local</v>
      </c>
      <c r="K68">
        <f t="shared" ca="1" si="16"/>
        <v>1</v>
      </c>
      <c r="L68" t="str">
        <f ca="1">VLOOKUP('Master Sheet'!I68,'Code Options'!$A$1:$R$7,7)</f>
        <v>Habitat</v>
      </c>
      <c r="M68">
        <f t="shared" ca="1" si="17"/>
        <v>4</v>
      </c>
      <c r="N68" t="str">
        <f ca="1">VLOOKUP('Master Sheet'!K68,'Code Options'!$A$1:$R$7,8)</f>
        <v>Fish.Enhancement</v>
      </c>
      <c r="O68">
        <f t="shared" ca="1" si="18"/>
        <v>3</v>
      </c>
      <c r="P68" t="str">
        <f ca="1">VLOOKUP('Master Sheet'!E68,'Code Options'!$A$1:$R$7,9)</f>
        <v>State_Plan</v>
      </c>
      <c r="Q68" cm="1">
        <f t="array" aca="1" ref="Q68" ca="1">_xlfn.IFS(P68 ="State_Plan", RANDBETWEEN(1,23), P68 ="State_Code", RANDBETWEEN(1,23), P68 = "Fed_Code", 99, P68 = "Summ_Article", 999, P68 = "Guide", 999)</f>
        <v>4</v>
      </c>
      <c r="R68" t="str">
        <f ca="1">VLOOKUP(Q68,'States and Locations'!$A$1:$B$26,2)</f>
        <v>Rhode Island</v>
      </c>
      <c r="S68">
        <f ca="1">VLOOKUP(Q68,'States and Locations'!$A$1:$D$26,3)</f>
        <v>41.666699999999999</v>
      </c>
      <c r="T68">
        <f ca="1">VLOOKUP(Q68,'States and Locations'!$A$1:$D$26,4)</f>
        <v>-71.5</v>
      </c>
      <c r="U68">
        <f t="shared" ca="1" si="19"/>
        <v>1</v>
      </c>
      <c r="V68" t="str">
        <f ca="1">VLOOKUP('Master Sheet'!E68,'Code Options'!$A$1:$R$7,10)</f>
        <v>Mitig.</v>
      </c>
      <c r="W68">
        <f t="shared" ca="1" si="20"/>
        <v>2</v>
      </c>
      <c r="X68" t="str">
        <f ca="1">VLOOKUP('Master Sheet'!E68,'Code Options'!$A$1:$R$7,11)</f>
        <v>Chart_Fish</v>
      </c>
      <c r="Y68">
        <f t="shared" ca="1" si="21"/>
        <v>1</v>
      </c>
      <c r="Z68" t="str">
        <f ca="1">VLOOKUP('Master Sheet'!E68,'Code Options'!$A$1:$R$7,12)</f>
        <v>Permit_reg_agencies</v>
      </c>
    </row>
    <row r="69" spans="1:26" x14ac:dyDescent="0.2">
      <c r="A69">
        <f t="shared" ca="1" si="11"/>
        <v>3</v>
      </c>
      <c r="B69" t="str">
        <f ca="1">VLOOKUP('Master Sheet'!A69,'Code Options'!$A$1:$B$7,2)</f>
        <v>Metal</v>
      </c>
      <c r="C69">
        <f t="shared" ca="1" si="12"/>
        <v>3</v>
      </c>
      <c r="D69" t="str">
        <f ca="1">VLOOKUP('Master Sheet'!C69,'Code Options'!$A$1:$R$7,3)</f>
        <v>Unsure</v>
      </c>
      <c r="E69">
        <f t="shared" ca="1" si="13"/>
        <v>1</v>
      </c>
      <c r="F69" t="str">
        <f ca="1">VLOOKUP('Master Sheet'!E69,'Code Options'!$A$1:$R$7,4)</f>
        <v>Will</v>
      </c>
      <c r="G69">
        <f t="shared" ca="1" si="14"/>
        <v>3</v>
      </c>
      <c r="H69" t="str">
        <f ca="1">VLOOKUP('Master Sheet'!E69,'Code Options'!$A$1:$R$7,5)</f>
        <v>Will</v>
      </c>
      <c r="I69">
        <f t="shared" ca="1" si="15"/>
        <v>4</v>
      </c>
      <c r="J69" t="str">
        <f ca="1">VLOOKUP('Master Sheet'!G69,'Code Options'!$A$1:$R$7,6)</f>
        <v>Regional</v>
      </c>
      <c r="K69">
        <f t="shared" ca="1" si="16"/>
        <v>2</v>
      </c>
      <c r="L69" t="str">
        <f ca="1">VLOOKUP('Master Sheet'!I69,'Code Options'!$A$1:$R$7,7)</f>
        <v>Biodiversity</v>
      </c>
      <c r="M69">
        <f t="shared" ca="1" si="17"/>
        <v>1</v>
      </c>
      <c r="N69" t="str">
        <f ca="1">VLOOKUP('Master Sheet'!K69,'Code Options'!$A$1:$R$7,8)</f>
        <v>Comm.Fish.Mngmt</v>
      </c>
      <c r="O69">
        <f t="shared" ca="1" si="18"/>
        <v>3</v>
      </c>
      <c r="P69" t="str">
        <f ca="1">VLOOKUP('Master Sheet'!E69,'Code Options'!$A$1:$R$7,9)</f>
        <v>State_Code</v>
      </c>
      <c r="Q69" cm="1">
        <f t="array" aca="1" ref="Q69" ca="1">_xlfn.IFS(P69 ="State_Plan", RANDBETWEEN(1,23), P69 ="State_Code", RANDBETWEEN(1,23), P69 = "Fed_Code", 99, P69 = "Summ_Article", 999, P69 = "Guide", 999)</f>
        <v>19</v>
      </c>
      <c r="R69" t="str">
        <f ca="1">VLOOKUP(Q69,'States and Locations'!$A$1:$B$26,2)</f>
        <v>California</v>
      </c>
      <c r="S69">
        <f ca="1">VLOOKUP(Q69,'States and Locations'!$A$1:$D$26,3)</f>
        <v>36.966700000000003</v>
      </c>
      <c r="T69">
        <f ca="1">VLOOKUP(Q69,'States and Locations'!$A$1:$D$26,4)</f>
        <v>-120.08329999999999</v>
      </c>
      <c r="U69">
        <f t="shared" ca="1" si="19"/>
        <v>2</v>
      </c>
      <c r="V69" t="str">
        <f ca="1">VLOOKUP('Master Sheet'!E69,'Code Options'!$A$1:$R$7,10)</f>
        <v>Hab_enhancement</v>
      </c>
      <c r="W69">
        <f t="shared" ca="1" si="20"/>
        <v>4</v>
      </c>
      <c r="X69" t="str">
        <f ca="1">VLOOKUP('Master Sheet'!E69,'Code Options'!$A$1:$R$7,11)</f>
        <v>Rec_Fish</v>
      </c>
      <c r="Y69">
        <f t="shared" ca="1" si="21"/>
        <v>2</v>
      </c>
      <c r="Z69" t="str">
        <f ca="1">VLOOKUP('Master Sheet'!E69,'Code Options'!$A$1:$R$7,12)</f>
        <v>AR_proj_plan_mngrs</v>
      </c>
    </row>
    <row r="70" spans="1:26" x14ac:dyDescent="0.2">
      <c r="A70">
        <f t="shared" ca="1" si="11"/>
        <v>3</v>
      </c>
      <c r="B70" t="str">
        <f ca="1">VLOOKUP('Master Sheet'!A70,'Code Options'!$A$1:$B$7,2)</f>
        <v>Metal</v>
      </c>
      <c r="C70">
        <f t="shared" ca="1" si="12"/>
        <v>3</v>
      </c>
      <c r="D70" t="str">
        <f ca="1">VLOOKUP('Master Sheet'!C70,'Code Options'!$A$1:$R$7,3)</f>
        <v>Unsure</v>
      </c>
      <c r="E70">
        <f t="shared" ca="1" si="13"/>
        <v>2</v>
      </c>
      <c r="F70" t="str">
        <f ca="1">VLOOKUP('Master Sheet'!E70,'Code Options'!$A$1:$R$7,4)</f>
        <v>Cyndi</v>
      </c>
      <c r="G70">
        <f t="shared" ca="1" si="14"/>
        <v>2</v>
      </c>
      <c r="H70" t="str">
        <f ca="1">VLOOKUP('Master Sheet'!E70,'Code Options'!$A$1:$R$7,5)</f>
        <v>Cyndi</v>
      </c>
      <c r="I70">
        <f t="shared" ca="1" si="15"/>
        <v>3</v>
      </c>
      <c r="J70" t="str">
        <f ca="1">VLOOKUP('Master Sheet'!G70,'Code Options'!$A$1:$R$7,6)</f>
        <v>State</v>
      </c>
      <c r="K70">
        <f t="shared" ca="1" si="16"/>
        <v>1</v>
      </c>
      <c r="L70" t="str">
        <f ca="1">VLOOKUP('Master Sheet'!I70,'Code Options'!$A$1:$R$7,7)</f>
        <v>Aggregation</v>
      </c>
      <c r="M70">
        <f t="shared" ca="1" si="17"/>
        <v>3</v>
      </c>
      <c r="N70" t="str">
        <f ca="1">VLOOKUP('Master Sheet'!K70,'Code Options'!$A$1:$R$7,8)</f>
        <v>Fish.Enhancement</v>
      </c>
      <c r="O70">
        <f t="shared" ca="1" si="18"/>
        <v>3</v>
      </c>
      <c r="P70" t="str">
        <f ca="1">VLOOKUP('Master Sheet'!E70,'Code Options'!$A$1:$R$7,9)</f>
        <v>Fed_Code</v>
      </c>
      <c r="Q70" cm="1">
        <f t="array" aca="1" ref="Q70" ca="1">_xlfn.IFS(P70 ="State_Plan", RANDBETWEEN(1,23), P70 ="State_Code", RANDBETWEEN(1,23), P70 = "Fed_Code", 99, P70 = "Summ_Article", 999, P70 = "Guide", 999)</f>
        <v>99</v>
      </c>
      <c r="R70" t="str">
        <f ca="1">VLOOKUP(Q70,'States and Locations'!$A$1:$B$26,2)</f>
        <v>National</v>
      </c>
      <c r="S70">
        <f ca="1">VLOOKUP(Q70,'States and Locations'!$A$1:$D$26,3)</f>
        <v>39.833300000000001</v>
      </c>
      <c r="T70">
        <f ca="1">VLOOKUP(Q70,'States and Locations'!$A$1:$D$26,4)</f>
        <v>-98.583299999999994</v>
      </c>
      <c r="U70">
        <f t="shared" ca="1" si="19"/>
        <v>5</v>
      </c>
      <c r="V70" t="str">
        <f ca="1">VLOOKUP('Master Sheet'!E70,'Code Options'!$A$1:$R$7,10)</f>
        <v>Disposal</v>
      </c>
      <c r="W70">
        <f t="shared" ca="1" si="20"/>
        <v>4</v>
      </c>
      <c r="X70" t="str">
        <f ca="1">VLOOKUP('Master Sheet'!E70,'Code Options'!$A$1:$R$7,11)</f>
        <v>Comm_Fish</v>
      </c>
      <c r="Y70">
        <f t="shared" ca="1" si="21"/>
        <v>5</v>
      </c>
      <c r="Z70" t="str">
        <f ca="1">VLOOKUP('Master Sheet'!E70,'Code Options'!$A$1:$R$7,12)</f>
        <v>AS_constructors</v>
      </c>
    </row>
    <row r="71" spans="1:26" x14ac:dyDescent="0.2">
      <c r="A71">
        <f t="shared" ca="1" si="11"/>
        <v>3</v>
      </c>
      <c r="B71" t="str">
        <f ca="1">VLOOKUP('Master Sheet'!A71,'Code Options'!$A$1:$B$7,2)</f>
        <v>Metal</v>
      </c>
      <c r="C71">
        <f t="shared" ca="1" si="12"/>
        <v>2</v>
      </c>
      <c r="D71" t="str">
        <f ca="1">VLOOKUP('Master Sheet'!C71,'Code Options'!$A$1:$R$7,3)</f>
        <v>Pro</v>
      </c>
      <c r="E71">
        <f t="shared" ca="1" si="13"/>
        <v>4</v>
      </c>
      <c r="F71" t="str">
        <f ca="1">VLOOKUP('Master Sheet'!E71,'Code Options'!$A$1:$R$7,4)</f>
        <v>LM</v>
      </c>
      <c r="G71">
        <f t="shared" ca="1" si="14"/>
        <v>1</v>
      </c>
      <c r="H71">
        <f ca="1">VLOOKUP('Master Sheet'!E71,'Code Options'!$A$1:$R$7,5)</f>
        <v>0</v>
      </c>
      <c r="I71">
        <f t="shared" ca="1" si="15"/>
        <v>3</v>
      </c>
      <c r="J71" t="str">
        <f ca="1">VLOOKUP('Master Sheet'!G71,'Code Options'!$A$1:$R$7,6)</f>
        <v>County/Local</v>
      </c>
      <c r="K71">
        <f t="shared" ca="1" si="16"/>
        <v>1</v>
      </c>
      <c r="L71" t="str">
        <f ca="1">VLOOKUP('Master Sheet'!I71,'Code Options'!$A$1:$R$7,7)</f>
        <v>Aggregation</v>
      </c>
      <c r="M71">
        <f t="shared" ca="1" si="17"/>
        <v>5</v>
      </c>
      <c r="N71" t="str">
        <f ca="1">VLOOKUP('Master Sheet'!K71,'Code Options'!$A$1:$R$7,8)</f>
        <v>Fish.Enhancement</v>
      </c>
      <c r="O71">
        <f t="shared" ca="1" si="18"/>
        <v>4</v>
      </c>
      <c r="P71" t="str">
        <f ca="1">VLOOKUP('Master Sheet'!E71,'Code Options'!$A$1:$R$7,9)</f>
        <v>Summ_Article</v>
      </c>
      <c r="Q71" cm="1">
        <f t="array" aca="1" ref="Q71" ca="1">_xlfn.IFS(P71 ="State_Plan", RANDBETWEEN(1,23), P71 ="State_Code", RANDBETWEEN(1,23), P71 = "Fed_Code", 99, P71 = "Summ_Article", 999, P71 = "Guide", 999)</f>
        <v>999</v>
      </c>
      <c r="R71" t="str">
        <f ca="1">VLOOKUP(Q71,'States and Locations'!$A$1:$B$26,2)</f>
        <v>UNK</v>
      </c>
      <c r="S71">
        <f ca="1">VLOOKUP(Q71,'States and Locations'!$A$1:$D$26,3)</f>
        <v>25</v>
      </c>
      <c r="T71">
        <f ca="1">VLOOKUP(Q71,'States and Locations'!$A$1:$D$26,4)</f>
        <v>-90</v>
      </c>
      <c r="U71">
        <f t="shared" ca="1" si="19"/>
        <v>3</v>
      </c>
      <c r="V71" t="str">
        <f ca="1">VLOOKUP('Master Sheet'!E71,'Code Options'!$A$1:$R$7,10)</f>
        <v>Hab_restoration</v>
      </c>
      <c r="W71">
        <f t="shared" ca="1" si="20"/>
        <v>1</v>
      </c>
      <c r="X71" t="str">
        <f ca="1">VLOOKUP('Master Sheet'!E71,'Code Options'!$A$1:$R$7,11)</f>
        <v>Non-Fish_rec</v>
      </c>
      <c r="Y71">
        <f t="shared" ca="1" si="21"/>
        <v>4</v>
      </c>
      <c r="Z71" t="str">
        <f ca="1">VLOOKUP('Master Sheet'!E71,'Code Options'!$A$1:$R$7,12)</f>
        <v>people_interested</v>
      </c>
    </row>
    <row r="72" spans="1:26" x14ac:dyDescent="0.2">
      <c r="A72">
        <f t="shared" ca="1" si="11"/>
        <v>6</v>
      </c>
      <c r="B72" t="str">
        <f ca="1">VLOOKUP('Master Sheet'!A72,'Code Options'!$A$1:$B$7,2)</f>
        <v>Tires/Rubber</v>
      </c>
      <c r="C72">
        <f t="shared" ca="1" si="12"/>
        <v>1</v>
      </c>
      <c r="D72" t="str">
        <f ca="1">VLOOKUP('Master Sheet'!C72,'Code Options'!$A$1:$R$7,3)</f>
        <v>Retro</v>
      </c>
      <c r="E72">
        <f t="shared" ca="1" si="13"/>
        <v>3</v>
      </c>
      <c r="F72" t="str">
        <f ca="1">VLOOKUP('Master Sheet'!E72,'Code Options'!$A$1:$R$7,4)</f>
        <v>Jon</v>
      </c>
      <c r="G72">
        <f t="shared" ca="1" si="14"/>
        <v>1</v>
      </c>
      <c r="H72" t="str">
        <f ca="1">VLOOKUP('Master Sheet'!E72,'Code Options'!$A$1:$R$7,5)</f>
        <v>Nick</v>
      </c>
      <c r="I72">
        <f t="shared" ca="1" si="15"/>
        <v>2</v>
      </c>
      <c r="J72" t="str">
        <f ca="1">VLOOKUP('Master Sheet'!G72,'Code Options'!$A$1:$R$7,6)</f>
        <v>County/Local</v>
      </c>
      <c r="K72">
        <f t="shared" ca="1" si="16"/>
        <v>4</v>
      </c>
      <c r="L72" t="str">
        <f ca="1">VLOOKUP('Master Sheet'!I72,'Code Options'!$A$1:$R$7,7)</f>
        <v>Production</v>
      </c>
      <c r="M72">
        <f t="shared" ca="1" si="17"/>
        <v>4</v>
      </c>
      <c r="N72" t="str">
        <f ca="1">VLOOKUP('Master Sheet'!K72,'Code Options'!$A$1:$R$7,8)</f>
        <v>Creation of AR Mat</v>
      </c>
      <c r="O72">
        <f t="shared" ca="1" si="18"/>
        <v>4</v>
      </c>
      <c r="P72" t="str">
        <f ca="1">VLOOKUP('Master Sheet'!E72,'Code Options'!$A$1:$R$7,9)</f>
        <v>State_Plan</v>
      </c>
      <c r="Q72" cm="1">
        <f t="array" aca="1" ref="Q72" ca="1">_xlfn.IFS(P72 ="State_Plan", RANDBETWEEN(1,23), P72 ="State_Code", RANDBETWEEN(1,23), P72 = "Fed_Code", 99, P72 = "Summ_Article", 999, P72 = "Guide", 999)</f>
        <v>10</v>
      </c>
      <c r="R72" t="str">
        <f ca="1">VLOOKUP(Q72,'States and Locations'!$A$1:$B$26,2)</f>
        <v>Virginia</v>
      </c>
      <c r="S72">
        <f ca="1">VLOOKUP(Q72,'States and Locations'!$A$1:$D$26,3)</f>
        <v>37.5167</v>
      </c>
      <c r="T72">
        <f ca="1">VLOOKUP(Q72,'States and Locations'!$A$1:$D$26,4)</f>
        <v>-78.633300000000006</v>
      </c>
      <c r="U72">
        <f t="shared" ca="1" si="19"/>
        <v>1</v>
      </c>
      <c r="V72" t="str">
        <f ca="1">VLOOKUP('Master Sheet'!E72,'Code Options'!$A$1:$R$7,10)</f>
        <v>Mitig.</v>
      </c>
      <c r="W72">
        <f t="shared" ca="1" si="20"/>
        <v>5</v>
      </c>
      <c r="X72" t="str">
        <f ca="1">VLOOKUP('Master Sheet'!E72,'Code Options'!$A$1:$R$7,11)</f>
        <v>Chart_Fish</v>
      </c>
      <c r="Y72">
        <f t="shared" ca="1" si="21"/>
        <v>3</v>
      </c>
      <c r="Z72" t="str">
        <f ca="1">VLOOKUP('Master Sheet'!E72,'Code Options'!$A$1:$R$7,12)</f>
        <v>Permit_reg_agencies</v>
      </c>
    </row>
    <row r="73" spans="1:26" x14ac:dyDescent="0.2">
      <c r="A73">
        <f t="shared" ca="1" si="11"/>
        <v>2</v>
      </c>
      <c r="B73" t="str">
        <f ca="1">VLOOKUP('Master Sheet'!A73,'Code Options'!$A$1:$B$7,2)</f>
        <v>Concrete</v>
      </c>
      <c r="C73">
        <f t="shared" ca="1" si="12"/>
        <v>2</v>
      </c>
      <c r="D73" t="str">
        <f ca="1">VLOOKUP('Master Sheet'!C73,'Code Options'!$A$1:$R$7,3)</f>
        <v>Pro</v>
      </c>
      <c r="E73">
        <f t="shared" ca="1" si="13"/>
        <v>3</v>
      </c>
      <c r="F73" t="str">
        <f ca="1">VLOOKUP('Master Sheet'!E73,'Code Options'!$A$1:$R$7,4)</f>
        <v>Jon</v>
      </c>
      <c r="G73">
        <f t="shared" ca="1" si="14"/>
        <v>2</v>
      </c>
      <c r="H73" t="str">
        <f ca="1">VLOOKUP('Master Sheet'!E73,'Code Options'!$A$1:$R$7,5)</f>
        <v>Nick</v>
      </c>
      <c r="I73">
        <f t="shared" ca="1" si="15"/>
        <v>2</v>
      </c>
      <c r="J73" t="str">
        <f ca="1">VLOOKUP('Master Sheet'!G73,'Code Options'!$A$1:$R$7,6)</f>
        <v>State</v>
      </c>
      <c r="K73">
        <f t="shared" ca="1" si="16"/>
        <v>1</v>
      </c>
      <c r="L73" t="str">
        <f ca="1">VLOOKUP('Master Sheet'!I73,'Code Options'!$A$1:$R$7,7)</f>
        <v>Production</v>
      </c>
      <c r="M73">
        <f t="shared" ca="1" si="17"/>
        <v>3</v>
      </c>
      <c r="N73" t="str">
        <f ca="1">VLOOKUP('Master Sheet'!K73,'Code Options'!$A$1:$R$7,8)</f>
        <v>Fish.Enhancement</v>
      </c>
      <c r="O73">
        <f t="shared" ca="1" si="18"/>
        <v>2</v>
      </c>
      <c r="P73" t="str">
        <f ca="1">VLOOKUP('Master Sheet'!E73,'Code Options'!$A$1:$R$7,9)</f>
        <v>State_Plan</v>
      </c>
      <c r="Q73" cm="1">
        <f t="array" aca="1" ref="Q73" ca="1">_xlfn.IFS(P73 ="State_Plan", RANDBETWEEN(1,23), P73 ="State_Code", RANDBETWEEN(1,23), P73 = "Fed_Code", 99, P73 = "Summ_Article", 999, P73 = "Guide", 999)</f>
        <v>16</v>
      </c>
      <c r="R73" t="str">
        <f ca="1">VLOOKUP(Q73,'States and Locations'!$A$1:$B$26,2)</f>
        <v>Louisiana</v>
      </c>
      <c r="S73">
        <f ca="1">VLOOKUP(Q73,'States and Locations'!$A$1:$D$26,3)</f>
        <v>30.4</v>
      </c>
      <c r="T73">
        <f ca="1">VLOOKUP(Q73,'States and Locations'!$A$1:$D$26,4)</f>
        <v>-92.333299999999994</v>
      </c>
      <c r="U73">
        <f t="shared" ca="1" si="19"/>
        <v>4</v>
      </c>
      <c r="V73" t="str">
        <f ca="1">VLOOKUP('Master Sheet'!E73,'Code Options'!$A$1:$R$7,10)</f>
        <v>Mitig.</v>
      </c>
      <c r="W73">
        <f t="shared" ca="1" si="20"/>
        <v>2</v>
      </c>
      <c r="X73" t="str">
        <f ca="1">VLOOKUP('Master Sheet'!E73,'Code Options'!$A$1:$R$7,11)</f>
        <v>Chart_Fish</v>
      </c>
      <c r="Y73">
        <f t="shared" ca="1" si="21"/>
        <v>5</v>
      </c>
      <c r="Z73" t="str">
        <f ca="1">VLOOKUP('Master Sheet'!E73,'Code Options'!$A$1:$R$7,12)</f>
        <v>Permit_reg_agencies</v>
      </c>
    </row>
    <row r="74" spans="1:26" x14ac:dyDescent="0.2">
      <c r="A74">
        <f t="shared" ca="1" si="11"/>
        <v>2</v>
      </c>
      <c r="B74" t="str">
        <f ca="1">VLOOKUP('Master Sheet'!A74,'Code Options'!$A$1:$B$7,2)</f>
        <v>Concrete</v>
      </c>
      <c r="C74">
        <f t="shared" ca="1" si="12"/>
        <v>2</v>
      </c>
      <c r="D74" t="str">
        <f ca="1">VLOOKUP('Master Sheet'!C74,'Code Options'!$A$1:$R$7,3)</f>
        <v>Pro</v>
      </c>
      <c r="E74">
        <f t="shared" ca="1" si="13"/>
        <v>3</v>
      </c>
      <c r="F74" t="str">
        <f ca="1">VLOOKUP('Master Sheet'!E74,'Code Options'!$A$1:$R$7,4)</f>
        <v>Jon</v>
      </c>
      <c r="G74">
        <f t="shared" ca="1" si="14"/>
        <v>3</v>
      </c>
      <c r="H74" t="str">
        <f ca="1">VLOOKUP('Master Sheet'!E74,'Code Options'!$A$1:$R$7,5)</f>
        <v>Nick</v>
      </c>
      <c r="I74">
        <f t="shared" ca="1" si="15"/>
        <v>3</v>
      </c>
      <c r="J74" t="str">
        <f ca="1">VLOOKUP('Master Sheet'!G74,'Code Options'!$A$1:$R$7,6)</f>
        <v>Regional</v>
      </c>
      <c r="K74">
        <f t="shared" ca="1" si="16"/>
        <v>2</v>
      </c>
      <c r="L74" t="str">
        <f ca="1">VLOOKUP('Master Sheet'!I74,'Code Options'!$A$1:$R$7,7)</f>
        <v>Aggregation</v>
      </c>
      <c r="M74">
        <f t="shared" ca="1" si="17"/>
        <v>1</v>
      </c>
      <c r="N74" t="str">
        <f ca="1">VLOOKUP('Master Sheet'!K74,'Code Options'!$A$1:$R$7,8)</f>
        <v>Comm.Fish.Mngmt</v>
      </c>
      <c r="O74">
        <f t="shared" ca="1" si="18"/>
        <v>3</v>
      </c>
      <c r="P74" t="str">
        <f ca="1">VLOOKUP('Master Sheet'!E74,'Code Options'!$A$1:$R$7,9)</f>
        <v>State_Plan</v>
      </c>
      <c r="Q74" cm="1">
        <f t="array" aca="1" ref="Q74" ca="1">_xlfn.IFS(P74 ="State_Plan", RANDBETWEEN(1,23), P74 ="State_Code", RANDBETWEEN(1,23), P74 = "Fed_Code", 99, P74 = "Summ_Article", 999, P74 = "Guide", 999)</f>
        <v>14</v>
      </c>
      <c r="R74" t="str">
        <f ca="1">VLOOKUP(Q74,'States and Locations'!$A$1:$B$26,2)</f>
        <v>Florida</v>
      </c>
      <c r="S74">
        <f ca="1">VLOOKUP(Q74,'States and Locations'!$A$1:$D$26,3)</f>
        <v>28.133299999999998</v>
      </c>
      <c r="T74">
        <f ca="1">VLOOKUP(Q74,'States and Locations'!$A$1:$D$26,4)</f>
        <v>-81.633300000000006</v>
      </c>
      <c r="U74">
        <f t="shared" ca="1" si="19"/>
        <v>1</v>
      </c>
      <c r="V74" t="str">
        <f ca="1">VLOOKUP('Master Sheet'!E74,'Code Options'!$A$1:$R$7,10)</f>
        <v>Mitig.</v>
      </c>
      <c r="W74">
        <f t="shared" ca="1" si="20"/>
        <v>5</v>
      </c>
      <c r="X74" t="str">
        <f ca="1">VLOOKUP('Master Sheet'!E74,'Code Options'!$A$1:$R$7,11)</f>
        <v>Chart_Fish</v>
      </c>
      <c r="Y74">
        <f t="shared" ca="1" si="21"/>
        <v>5</v>
      </c>
      <c r="Z74" t="str">
        <f ca="1">VLOOKUP('Master Sheet'!E74,'Code Options'!$A$1:$R$7,12)</f>
        <v>Permit_reg_agencies</v>
      </c>
    </row>
    <row r="75" spans="1:26" x14ac:dyDescent="0.2">
      <c r="A75">
        <f t="shared" ca="1" si="11"/>
        <v>5</v>
      </c>
      <c r="B75" t="str">
        <f ca="1">VLOOKUP('Master Sheet'!A75,'Code Options'!$A$1:$B$7,2)</f>
        <v>Rock</v>
      </c>
      <c r="C75">
        <f t="shared" ca="1" si="12"/>
        <v>1</v>
      </c>
      <c r="D75" t="str">
        <f ca="1">VLOOKUP('Master Sheet'!C75,'Code Options'!$A$1:$R$7,3)</f>
        <v>Retro</v>
      </c>
      <c r="E75">
        <f t="shared" ca="1" si="13"/>
        <v>4</v>
      </c>
      <c r="F75" t="str">
        <f ca="1">VLOOKUP('Master Sheet'!E75,'Code Options'!$A$1:$R$7,4)</f>
        <v>LM</v>
      </c>
      <c r="G75">
        <f t="shared" ca="1" si="14"/>
        <v>1</v>
      </c>
      <c r="H75">
        <f ca="1">VLOOKUP('Master Sheet'!E75,'Code Options'!$A$1:$R$7,5)</f>
        <v>0</v>
      </c>
      <c r="I75">
        <f t="shared" ca="1" si="15"/>
        <v>4</v>
      </c>
      <c r="J75" t="str">
        <f ca="1">VLOOKUP('Master Sheet'!G75,'Code Options'!$A$1:$R$7,6)</f>
        <v>County/Local</v>
      </c>
      <c r="K75">
        <f t="shared" ca="1" si="16"/>
        <v>4</v>
      </c>
      <c r="L75" t="str">
        <f ca="1">VLOOKUP('Master Sheet'!I75,'Code Options'!$A$1:$R$7,7)</f>
        <v>Biodiversity</v>
      </c>
      <c r="M75">
        <f t="shared" ca="1" si="17"/>
        <v>4</v>
      </c>
      <c r="N75" t="str">
        <f ca="1">VLOOKUP('Master Sheet'!K75,'Code Options'!$A$1:$R$7,8)</f>
        <v>Creation of AR Mat</v>
      </c>
      <c r="O75">
        <f t="shared" ca="1" si="18"/>
        <v>3</v>
      </c>
      <c r="P75" t="str">
        <f ca="1">VLOOKUP('Master Sheet'!E75,'Code Options'!$A$1:$R$7,9)</f>
        <v>Summ_Article</v>
      </c>
      <c r="Q75" cm="1">
        <f t="array" aca="1" ref="Q75" ca="1">_xlfn.IFS(P75 ="State_Plan", RANDBETWEEN(1,23), P75 ="State_Code", RANDBETWEEN(1,23), P75 = "Fed_Code", 99, P75 = "Summ_Article", 999, P75 = "Guide", 999)</f>
        <v>999</v>
      </c>
      <c r="R75" t="str">
        <f ca="1">VLOOKUP(Q75,'States and Locations'!$A$1:$B$26,2)</f>
        <v>UNK</v>
      </c>
      <c r="S75">
        <f ca="1">VLOOKUP(Q75,'States and Locations'!$A$1:$D$26,3)</f>
        <v>25</v>
      </c>
      <c r="T75">
        <f ca="1">VLOOKUP(Q75,'States and Locations'!$A$1:$D$26,4)</f>
        <v>-90</v>
      </c>
      <c r="U75">
        <f t="shared" ca="1" si="19"/>
        <v>3</v>
      </c>
      <c r="V75" t="str">
        <f ca="1">VLOOKUP('Master Sheet'!E75,'Code Options'!$A$1:$R$7,10)</f>
        <v>Hab_restoration</v>
      </c>
      <c r="W75">
        <f t="shared" ca="1" si="20"/>
        <v>2</v>
      </c>
      <c r="X75" t="str">
        <f ca="1">VLOOKUP('Master Sheet'!E75,'Code Options'!$A$1:$R$7,11)</f>
        <v>Non-Fish_rec</v>
      </c>
      <c r="Y75">
        <f t="shared" ca="1" si="21"/>
        <v>5</v>
      </c>
      <c r="Z75" t="str">
        <f ca="1">VLOOKUP('Master Sheet'!E75,'Code Options'!$A$1:$R$7,12)</f>
        <v>people_interested</v>
      </c>
    </row>
    <row r="76" spans="1:26" x14ac:dyDescent="0.2">
      <c r="A76">
        <f t="shared" ca="1" si="11"/>
        <v>2</v>
      </c>
      <c r="B76" t="str">
        <f ca="1">VLOOKUP('Master Sheet'!A76,'Code Options'!$A$1:$B$7,2)</f>
        <v>Concrete</v>
      </c>
      <c r="C76">
        <f t="shared" ca="1" si="12"/>
        <v>2</v>
      </c>
      <c r="D76" t="str">
        <f ca="1">VLOOKUP('Master Sheet'!C76,'Code Options'!$A$1:$R$7,3)</f>
        <v>Pro</v>
      </c>
      <c r="E76">
        <f t="shared" ca="1" si="13"/>
        <v>1</v>
      </c>
      <c r="F76" t="str">
        <f ca="1">VLOOKUP('Master Sheet'!E76,'Code Options'!$A$1:$R$7,4)</f>
        <v>Will</v>
      </c>
      <c r="G76">
        <f t="shared" ca="1" si="14"/>
        <v>3</v>
      </c>
      <c r="H76" t="str">
        <f ca="1">VLOOKUP('Master Sheet'!E76,'Code Options'!$A$1:$R$7,5)</f>
        <v>Will</v>
      </c>
      <c r="I76">
        <f t="shared" ca="1" si="15"/>
        <v>4</v>
      </c>
      <c r="J76" t="str">
        <f ca="1">VLOOKUP('Master Sheet'!G76,'Code Options'!$A$1:$R$7,6)</f>
        <v>Regional</v>
      </c>
      <c r="K76">
        <f t="shared" ca="1" si="16"/>
        <v>1</v>
      </c>
      <c r="L76" t="str">
        <f ca="1">VLOOKUP('Master Sheet'!I76,'Code Options'!$A$1:$R$7,7)</f>
        <v>Biodiversity</v>
      </c>
      <c r="M76">
        <f t="shared" ca="1" si="17"/>
        <v>5</v>
      </c>
      <c r="N76" t="str">
        <f ca="1">VLOOKUP('Master Sheet'!K76,'Code Options'!$A$1:$R$7,8)</f>
        <v>Fish.Enhancement</v>
      </c>
      <c r="O76">
        <f t="shared" ca="1" si="18"/>
        <v>3</v>
      </c>
      <c r="P76" t="str">
        <f ca="1">VLOOKUP('Master Sheet'!E76,'Code Options'!$A$1:$R$7,9)</f>
        <v>State_Code</v>
      </c>
      <c r="Q76" cm="1">
        <f t="array" aca="1" ref="Q76" ca="1">_xlfn.IFS(P76 ="State_Plan", RANDBETWEEN(1,23), P76 ="State_Code", RANDBETWEEN(1,23), P76 = "Fed_Code", 99, P76 = "Summ_Article", 999, P76 = "Guide", 999)</f>
        <v>23</v>
      </c>
      <c r="R76" t="str">
        <f ca="1">VLOOKUP(Q76,'States and Locations'!$A$1:$B$26,2)</f>
        <v>Hawaii</v>
      </c>
      <c r="S76">
        <f ca="1">VLOOKUP(Q76,'States and Locations'!$A$1:$D$26,3)</f>
        <v>20.95</v>
      </c>
      <c r="T76">
        <f ca="1">VLOOKUP(Q76,'States and Locations'!$A$1:$D$26,4)</f>
        <v>-157.2833</v>
      </c>
      <c r="U76">
        <f t="shared" ca="1" si="19"/>
        <v>5</v>
      </c>
      <c r="V76" t="str">
        <f ca="1">VLOOKUP('Master Sheet'!E76,'Code Options'!$A$1:$R$7,10)</f>
        <v>Hab_enhancement</v>
      </c>
      <c r="W76">
        <f t="shared" ca="1" si="20"/>
        <v>3</v>
      </c>
      <c r="X76" t="str">
        <f ca="1">VLOOKUP('Master Sheet'!E76,'Code Options'!$A$1:$R$7,11)</f>
        <v>Rec_Fish</v>
      </c>
      <c r="Y76">
        <f t="shared" ca="1" si="21"/>
        <v>1</v>
      </c>
      <c r="Z76" t="str">
        <f ca="1">VLOOKUP('Master Sheet'!E76,'Code Options'!$A$1:$R$7,12)</f>
        <v>AR_proj_plan_mngrs</v>
      </c>
    </row>
    <row r="77" spans="1:26" x14ac:dyDescent="0.2">
      <c r="A77">
        <f t="shared" ca="1" si="11"/>
        <v>1</v>
      </c>
      <c r="B77" t="str">
        <f ca="1">VLOOKUP('Master Sheet'!A77,'Code Options'!$A$1:$B$7,2)</f>
        <v>Composite</v>
      </c>
      <c r="C77">
        <f t="shared" ca="1" si="12"/>
        <v>3</v>
      </c>
      <c r="D77" t="str">
        <f ca="1">VLOOKUP('Master Sheet'!C77,'Code Options'!$A$1:$R$7,3)</f>
        <v>Unsure</v>
      </c>
      <c r="E77">
        <f t="shared" ca="1" si="13"/>
        <v>3</v>
      </c>
      <c r="F77" t="str">
        <f ca="1">VLOOKUP('Master Sheet'!E77,'Code Options'!$A$1:$R$7,4)</f>
        <v>Jon</v>
      </c>
      <c r="G77">
        <f t="shared" ca="1" si="14"/>
        <v>3</v>
      </c>
      <c r="H77" t="str">
        <f ca="1">VLOOKUP('Master Sheet'!E77,'Code Options'!$A$1:$R$7,5)</f>
        <v>Nick</v>
      </c>
      <c r="I77">
        <f t="shared" ca="1" si="15"/>
        <v>1</v>
      </c>
      <c r="J77" t="str">
        <f ca="1">VLOOKUP('Master Sheet'!G77,'Code Options'!$A$1:$R$7,6)</f>
        <v>Regional</v>
      </c>
      <c r="K77">
        <f t="shared" ca="1" si="16"/>
        <v>2</v>
      </c>
      <c r="L77" t="str">
        <f ca="1">VLOOKUP('Master Sheet'!I77,'Code Options'!$A$1:$R$7,7)</f>
        <v>Habitat</v>
      </c>
      <c r="M77">
        <f t="shared" ca="1" si="17"/>
        <v>2</v>
      </c>
      <c r="N77" t="str">
        <f ca="1">VLOOKUP('Master Sheet'!K77,'Code Options'!$A$1:$R$7,8)</f>
        <v>Comm.Fish.Mngmt</v>
      </c>
      <c r="O77">
        <f t="shared" ca="1" si="18"/>
        <v>4</v>
      </c>
      <c r="P77" t="str">
        <f ca="1">VLOOKUP('Master Sheet'!E77,'Code Options'!$A$1:$R$7,9)</f>
        <v>State_Plan</v>
      </c>
      <c r="Q77" cm="1">
        <f t="array" aca="1" ref="Q77" ca="1">_xlfn.IFS(P77 ="State_Plan", RANDBETWEEN(1,23), P77 ="State_Code", RANDBETWEEN(1,23), P77 = "Fed_Code", 99, P77 = "Summ_Article", 999, P77 = "Guide", 999)</f>
        <v>17</v>
      </c>
      <c r="R77" t="str">
        <f ca="1">VLOOKUP(Q77,'States and Locations'!$A$1:$B$26,2)</f>
        <v>Mississippi</v>
      </c>
      <c r="S77">
        <f ca="1">VLOOKUP(Q77,'States and Locations'!$A$1:$D$26,3)</f>
        <v>32.7333</v>
      </c>
      <c r="T77">
        <f ca="1">VLOOKUP(Q77,'States and Locations'!$A$1:$D$26,4)</f>
        <v>-89.666700000000006</v>
      </c>
      <c r="U77">
        <f t="shared" ca="1" si="19"/>
        <v>4</v>
      </c>
      <c r="V77" t="str">
        <f ca="1">VLOOKUP('Master Sheet'!E77,'Code Options'!$A$1:$R$7,10)</f>
        <v>Mitig.</v>
      </c>
      <c r="W77">
        <f t="shared" ca="1" si="20"/>
        <v>2</v>
      </c>
      <c r="X77" t="str">
        <f ca="1">VLOOKUP('Master Sheet'!E77,'Code Options'!$A$1:$R$7,11)</f>
        <v>Chart_Fish</v>
      </c>
      <c r="Y77">
        <f t="shared" ca="1" si="21"/>
        <v>4</v>
      </c>
      <c r="Z77" t="str">
        <f ca="1">VLOOKUP('Master Sheet'!E77,'Code Options'!$A$1:$R$7,12)</f>
        <v>Permit_reg_agencies</v>
      </c>
    </row>
    <row r="78" spans="1:26" x14ac:dyDescent="0.2">
      <c r="A78">
        <f t="shared" ca="1" si="11"/>
        <v>1</v>
      </c>
      <c r="B78" t="str">
        <f ca="1">VLOOKUP('Master Sheet'!A78,'Code Options'!$A$1:$B$7,2)</f>
        <v>Composite</v>
      </c>
      <c r="C78">
        <f t="shared" ca="1" si="12"/>
        <v>3</v>
      </c>
      <c r="D78" t="str">
        <f ca="1">VLOOKUP('Master Sheet'!C78,'Code Options'!$A$1:$R$7,3)</f>
        <v>Unsure</v>
      </c>
      <c r="E78">
        <f t="shared" ca="1" si="13"/>
        <v>2</v>
      </c>
      <c r="F78" t="str">
        <f ca="1">VLOOKUP('Master Sheet'!E78,'Code Options'!$A$1:$R$7,4)</f>
        <v>Cyndi</v>
      </c>
      <c r="G78">
        <f t="shared" ca="1" si="14"/>
        <v>3</v>
      </c>
      <c r="H78" t="str">
        <f ca="1">VLOOKUP('Master Sheet'!E78,'Code Options'!$A$1:$R$7,5)</f>
        <v>Cyndi</v>
      </c>
      <c r="I78">
        <f t="shared" ca="1" si="15"/>
        <v>1</v>
      </c>
      <c r="J78" t="str">
        <f ca="1">VLOOKUP('Master Sheet'!G78,'Code Options'!$A$1:$R$7,6)</f>
        <v>Regional</v>
      </c>
      <c r="K78">
        <f t="shared" ca="1" si="16"/>
        <v>2</v>
      </c>
      <c r="L78" t="str">
        <f ca="1">VLOOKUP('Master Sheet'!I78,'Code Options'!$A$1:$R$7,7)</f>
        <v>Habitat</v>
      </c>
      <c r="M78">
        <f t="shared" ca="1" si="17"/>
        <v>2</v>
      </c>
      <c r="N78" t="str">
        <f ca="1">VLOOKUP('Master Sheet'!K78,'Code Options'!$A$1:$R$7,8)</f>
        <v>Comm.Fish.Mngmt</v>
      </c>
      <c r="O78">
        <f t="shared" ca="1" si="18"/>
        <v>2</v>
      </c>
      <c r="P78" t="str">
        <f ca="1">VLOOKUP('Master Sheet'!E78,'Code Options'!$A$1:$R$7,9)</f>
        <v>Fed_Code</v>
      </c>
      <c r="Q78" cm="1">
        <f t="array" aca="1" ref="Q78" ca="1">_xlfn.IFS(P78 ="State_Plan", RANDBETWEEN(1,23), P78 ="State_Code", RANDBETWEEN(1,23), P78 = "Fed_Code", 99, P78 = "Summ_Article", 999, P78 = "Guide", 999)</f>
        <v>99</v>
      </c>
      <c r="R78" t="str">
        <f ca="1">VLOOKUP(Q78,'States and Locations'!$A$1:$B$26,2)</f>
        <v>National</v>
      </c>
      <c r="S78">
        <f ca="1">VLOOKUP(Q78,'States and Locations'!$A$1:$D$26,3)</f>
        <v>39.833300000000001</v>
      </c>
      <c r="T78">
        <f ca="1">VLOOKUP(Q78,'States and Locations'!$A$1:$D$26,4)</f>
        <v>-98.583299999999994</v>
      </c>
      <c r="U78">
        <f t="shared" ca="1" si="19"/>
        <v>1</v>
      </c>
      <c r="V78" t="str">
        <f ca="1">VLOOKUP('Master Sheet'!E78,'Code Options'!$A$1:$R$7,10)</f>
        <v>Disposal</v>
      </c>
      <c r="W78">
        <f t="shared" ca="1" si="20"/>
        <v>4</v>
      </c>
      <c r="X78" t="str">
        <f ca="1">VLOOKUP('Master Sheet'!E78,'Code Options'!$A$1:$R$7,11)</f>
        <v>Comm_Fish</v>
      </c>
      <c r="Y78">
        <f t="shared" ca="1" si="21"/>
        <v>5</v>
      </c>
      <c r="Z78" t="str">
        <f ca="1">VLOOKUP('Master Sheet'!E78,'Code Options'!$A$1:$R$7,12)</f>
        <v>AS_constructors</v>
      </c>
    </row>
    <row r="79" spans="1:26" x14ac:dyDescent="0.2">
      <c r="A79">
        <f t="shared" ca="1" si="11"/>
        <v>4</v>
      </c>
      <c r="B79" t="str">
        <f ca="1">VLOOKUP('Master Sheet'!A79,'Code Options'!$A$1:$B$7,2)</f>
        <v>Other</v>
      </c>
      <c r="C79">
        <f t="shared" ca="1" si="12"/>
        <v>2</v>
      </c>
      <c r="D79" t="str">
        <f ca="1">VLOOKUP('Master Sheet'!C79,'Code Options'!$A$1:$R$7,3)</f>
        <v>Pro</v>
      </c>
      <c r="E79">
        <f t="shared" ca="1" si="13"/>
        <v>3</v>
      </c>
      <c r="F79" t="str">
        <f ca="1">VLOOKUP('Master Sheet'!E79,'Code Options'!$A$1:$R$7,4)</f>
        <v>Jon</v>
      </c>
      <c r="G79">
        <f t="shared" ca="1" si="14"/>
        <v>2</v>
      </c>
      <c r="H79" t="str">
        <f ca="1">VLOOKUP('Master Sheet'!E79,'Code Options'!$A$1:$R$7,5)</f>
        <v>Nick</v>
      </c>
      <c r="I79">
        <f t="shared" ca="1" si="15"/>
        <v>1</v>
      </c>
      <c r="J79" t="str">
        <f ca="1">VLOOKUP('Master Sheet'!G79,'Code Options'!$A$1:$R$7,6)</f>
        <v>State</v>
      </c>
      <c r="K79">
        <f t="shared" ca="1" si="16"/>
        <v>2</v>
      </c>
      <c r="L79" t="str">
        <f ca="1">VLOOKUP('Master Sheet'!I79,'Code Options'!$A$1:$R$7,7)</f>
        <v>Habitat</v>
      </c>
      <c r="M79">
        <f t="shared" ca="1" si="17"/>
        <v>5</v>
      </c>
      <c r="N79" t="str">
        <f ca="1">VLOOKUP('Master Sheet'!K79,'Code Options'!$A$1:$R$7,8)</f>
        <v>Comm.Fish.Mngmt</v>
      </c>
      <c r="O79">
        <f t="shared" ca="1" si="18"/>
        <v>4</v>
      </c>
      <c r="P79" t="str">
        <f ca="1">VLOOKUP('Master Sheet'!E79,'Code Options'!$A$1:$R$7,9)</f>
        <v>State_Plan</v>
      </c>
      <c r="Q79" cm="1">
        <f t="array" aca="1" ref="Q79" ca="1">_xlfn.IFS(P79 ="State_Plan", RANDBETWEEN(1,23), P79 ="State_Code", RANDBETWEEN(1,23), P79 = "Fed_Code", 99, P79 = "Summ_Article", 999, P79 = "Guide", 999)</f>
        <v>2</v>
      </c>
      <c r="R79" t="str">
        <f ca="1">VLOOKUP(Q79,'States and Locations'!$A$1:$B$26,2)</f>
        <v>New Hampshire</v>
      </c>
      <c r="S79">
        <f ca="1">VLOOKUP(Q79,'States and Locations'!$A$1:$D$26,3)</f>
        <v>43.683300000000003</v>
      </c>
      <c r="T79">
        <f ca="1">VLOOKUP(Q79,'States and Locations'!$A$1:$D$26,4)</f>
        <v>-71.583299999999994</v>
      </c>
      <c r="U79">
        <f t="shared" ca="1" si="19"/>
        <v>1</v>
      </c>
      <c r="V79" t="str">
        <f ca="1">VLOOKUP('Master Sheet'!E79,'Code Options'!$A$1:$R$7,10)</f>
        <v>Mitig.</v>
      </c>
      <c r="W79">
        <f t="shared" ca="1" si="20"/>
        <v>5</v>
      </c>
      <c r="X79" t="str">
        <f ca="1">VLOOKUP('Master Sheet'!E79,'Code Options'!$A$1:$R$7,11)</f>
        <v>Chart_Fish</v>
      </c>
      <c r="Y79">
        <f t="shared" ca="1" si="21"/>
        <v>5</v>
      </c>
      <c r="Z79" t="str">
        <f ca="1">VLOOKUP('Master Sheet'!E79,'Code Options'!$A$1:$R$7,12)</f>
        <v>Permit_reg_agencies</v>
      </c>
    </row>
    <row r="80" spans="1:26" x14ac:dyDescent="0.2">
      <c r="A80">
        <f t="shared" ca="1" si="11"/>
        <v>5</v>
      </c>
      <c r="B80" t="str">
        <f ca="1">VLOOKUP('Master Sheet'!A80,'Code Options'!$A$1:$B$7,2)</f>
        <v>Rock</v>
      </c>
      <c r="C80">
        <f t="shared" ca="1" si="12"/>
        <v>2</v>
      </c>
      <c r="D80" t="str">
        <f ca="1">VLOOKUP('Master Sheet'!C80,'Code Options'!$A$1:$R$7,3)</f>
        <v>Pro</v>
      </c>
      <c r="E80">
        <f t="shared" ca="1" si="13"/>
        <v>4</v>
      </c>
      <c r="F80" t="str">
        <f ca="1">VLOOKUP('Master Sheet'!E80,'Code Options'!$A$1:$R$7,4)</f>
        <v>LM</v>
      </c>
      <c r="G80">
        <f t="shared" ca="1" si="14"/>
        <v>2</v>
      </c>
      <c r="H80">
        <f ca="1">VLOOKUP('Master Sheet'!E80,'Code Options'!$A$1:$R$7,5)</f>
        <v>0</v>
      </c>
      <c r="I80">
        <f t="shared" ca="1" si="15"/>
        <v>2</v>
      </c>
      <c r="J80" t="str">
        <f ca="1">VLOOKUP('Master Sheet'!G80,'Code Options'!$A$1:$R$7,6)</f>
        <v>State</v>
      </c>
      <c r="K80">
        <f t="shared" ca="1" si="16"/>
        <v>3</v>
      </c>
      <c r="L80" t="str">
        <f ca="1">VLOOKUP('Master Sheet'!I80,'Code Options'!$A$1:$R$7,7)</f>
        <v>Production</v>
      </c>
      <c r="M80">
        <f t="shared" ca="1" si="17"/>
        <v>2</v>
      </c>
      <c r="N80" t="str">
        <f ca="1">VLOOKUP('Master Sheet'!K80,'Code Options'!$A$1:$R$7,8)</f>
        <v>Rec.Fish.Mngmt</v>
      </c>
      <c r="O80">
        <f t="shared" ca="1" si="18"/>
        <v>2</v>
      </c>
      <c r="P80" t="str">
        <f ca="1">VLOOKUP('Master Sheet'!E80,'Code Options'!$A$1:$R$7,9)</f>
        <v>Summ_Article</v>
      </c>
      <c r="Q80" cm="1">
        <f t="array" aca="1" ref="Q80" ca="1">_xlfn.IFS(P80 ="State_Plan", RANDBETWEEN(1,23), P80 ="State_Code", RANDBETWEEN(1,23), P80 = "Fed_Code", 99, P80 = "Summ_Article", 999, P80 = "Guide", 999)</f>
        <v>999</v>
      </c>
      <c r="R80" t="str">
        <f ca="1">VLOOKUP(Q80,'States and Locations'!$A$1:$B$26,2)</f>
        <v>UNK</v>
      </c>
      <c r="S80">
        <f ca="1">VLOOKUP(Q80,'States and Locations'!$A$1:$D$26,3)</f>
        <v>25</v>
      </c>
      <c r="T80">
        <f ca="1">VLOOKUP(Q80,'States and Locations'!$A$1:$D$26,4)</f>
        <v>-90</v>
      </c>
      <c r="U80">
        <f t="shared" ca="1" si="19"/>
        <v>5</v>
      </c>
      <c r="V80" t="str">
        <f ca="1">VLOOKUP('Master Sheet'!E80,'Code Options'!$A$1:$R$7,10)</f>
        <v>Hab_restoration</v>
      </c>
      <c r="W80">
        <f t="shared" ca="1" si="20"/>
        <v>4</v>
      </c>
      <c r="X80" t="str">
        <f ca="1">VLOOKUP('Master Sheet'!E80,'Code Options'!$A$1:$R$7,11)</f>
        <v>Non-Fish_rec</v>
      </c>
      <c r="Y80">
        <f t="shared" ca="1" si="21"/>
        <v>2</v>
      </c>
      <c r="Z80" t="str">
        <f ca="1">VLOOKUP('Master Sheet'!E80,'Code Options'!$A$1:$R$7,12)</f>
        <v>people_interested</v>
      </c>
    </row>
    <row r="81" spans="1:26" x14ac:dyDescent="0.2">
      <c r="A81">
        <f t="shared" ca="1" si="11"/>
        <v>6</v>
      </c>
      <c r="B81" t="str">
        <f ca="1">VLOOKUP('Master Sheet'!A81,'Code Options'!$A$1:$B$7,2)</f>
        <v>Tires/Rubber</v>
      </c>
      <c r="C81">
        <f t="shared" ca="1" si="12"/>
        <v>3</v>
      </c>
      <c r="D81" t="str">
        <f ca="1">VLOOKUP('Master Sheet'!C81,'Code Options'!$A$1:$R$7,3)</f>
        <v>Unsure</v>
      </c>
      <c r="E81">
        <f t="shared" ca="1" si="13"/>
        <v>3</v>
      </c>
      <c r="F81" t="str">
        <f ca="1">VLOOKUP('Master Sheet'!E81,'Code Options'!$A$1:$R$7,4)</f>
        <v>Jon</v>
      </c>
      <c r="G81">
        <f t="shared" ca="1" si="14"/>
        <v>2</v>
      </c>
      <c r="H81" t="str">
        <f ca="1">VLOOKUP('Master Sheet'!E81,'Code Options'!$A$1:$R$7,5)</f>
        <v>Nick</v>
      </c>
      <c r="I81">
        <f t="shared" ca="1" si="15"/>
        <v>3</v>
      </c>
      <c r="J81" t="str">
        <f ca="1">VLOOKUP('Master Sheet'!G81,'Code Options'!$A$1:$R$7,6)</f>
        <v>State</v>
      </c>
      <c r="K81">
        <f t="shared" ca="1" si="16"/>
        <v>3</v>
      </c>
      <c r="L81" t="str">
        <f ca="1">VLOOKUP('Master Sheet'!I81,'Code Options'!$A$1:$R$7,7)</f>
        <v>Aggregation</v>
      </c>
      <c r="M81">
        <f t="shared" ca="1" si="17"/>
        <v>3</v>
      </c>
      <c r="N81" t="str">
        <f ca="1">VLOOKUP('Master Sheet'!K81,'Code Options'!$A$1:$R$7,8)</f>
        <v>Rec.Fish.Mngmt</v>
      </c>
      <c r="O81">
        <f t="shared" ca="1" si="18"/>
        <v>3</v>
      </c>
      <c r="P81" t="str">
        <f ca="1">VLOOKUP('Master Sheet'!E81,'Code Options'!$A$1:$R$7,9)</f>
        <v>State_Plan</v>
      </c>
      <c r="Q81" cm="1">
        <f t="array" aca="1" ref="Q81" ca="1">_xlfn.IFS(P81 ="State_Plan", RANDBETWEEN(1,23), P81 ="State_Code", RANDBETWEEN(1,23), P81 = "Fed_Code", 99, P81 = "Summ_Article", 999, P81 = "Guide", 999)</f>
        <v>2</v>
      </c>
      <c r="R81" t="str">
        <f ca="1">VLOOKUP(Q81,'States and Locations'!$A$1:$B$26,2)</f>
        <v>New Hampshire</v>
      </c>
      <c r="S81">
        <f ca="1">VLOOKUP(Q81,'States and Locations'!$A$1:$D$26,3)</f>
        <v>43.683300000000003</v>
      </c>
      <c r="T81">
        <f ca="1">VLOOKUP(Q81,'States and Locations'!$A$1:$D$26,4)</f>
        <v>-71.583299999999994</v>
      </c>
      <c r="U81">
        <f t="shared" ca="1" si="19"/>
        <v>5</v>
      </c>
      <c r="V81" t="str">
        <f ca="1">VLOOKUP('Master Sheet'!E81,'Code Options'!$A$1:$R$7,10)</f>
        <v>Mitig.</v>
      </c>
      <c r="W81">
        <f t="shared" ca="1" si="20"/>
        <v>2</v>
      </c>
      <c r="X81" t="str">
        <f ca="1">VLOOKUP('Master Sheet'!E81,'Code Options'!$A$1:$R$7,11)</f>
        <v>Chart_Fish</v>
      </c>
      <c r="Y81">
        <f t="shared" ca="1" si="21"/>
        <v>3</v>
      </c>
      <c r="Z81" t="str">
        <f ca="1">VLOOKUP('Master Sheet'!E81,'Code Options'!$A$1:$R$7,12)</f>
        <v>Permit_reg_agencies</v>
      </c>
    </row>
    <row r="82" spans="1:26" x14ac:dyDescent="0.2">
      <c r="A82">
        <f t="shared" ca="1" si="11"/>
        <v>4</v>
      </c>
      <c r="B82" t="str">
        <f ca="1">VLOOKUP('Master Sheet'!A82,'Code Options'!$A$1:$B$7,2)</f>
        <v>Other</v>
      </c>
      <c r="C82">
        <f t="shared" ca="1" si="12"/>
        <v>3</v>
      </c>
      <c r="D82" t="str">
        <f ca="1">VLOOKUP('Master Sheet'!C82,'Code Options'!$A$1:$R$7,3)</f>
        <v>Unsure</v>
      </c>
      <c r="E82">
        <f t="shared" ca="1" si="13"/>
        <v>1</v>
      </c>
      <c r="F82" t="str">
        <f ca="1">VLOOKUP('Master Sheet'!E82,'Code Options'!$A$1:$R$7,4)</f>
        <v>Will</v>
      </c>
      <c r="G82">
        <f t="shared" ca="1" si="14"/>
        <v>3</v>
      </c>
      <c r="H82" t="str">
        <f ca="1">VLOOKUP('Master Sheet'!E82,'Code Options'!$A$1:$R$7,5)</f>
        <v>Will</v>
      </c>
      <c r="I82">
        <f t="shared" ca="1" si="15"/>
        <v>3</v>
      </c>
      <c r="J82" t="str">
        <f ca="1">VLOOKUP('Master Sheet'!G82,'Code Options'!$A$1:$R$7,6)</f>
        <v>Regional</v>
      </c>
      <c r="K82">
        <f t="shared" ca="1" si="16"/>
        <v>4</v>
      </c>
      <c r="L82" t="str">
        <f ca="1">VLOOKUP('Master Sheet'!I82,'Code Options'!$A$1:$R$7,7)</f>
        <v>Aggregation</v>
      </c>
      <c r="M82">
        <f t="shared" ca="1" si="17"/>
        <v>4</v>
      </c>
      <c r="N82" t="str">
        <f ca="1">VLOOKUP('Master Sheet'!K82,'Code Options'!$A$1:$R$7,8)</f>
        <v>Creation of AR Mat</v>
      </c>
      <c r="O82">
        <f t="shared" ca="1" si="18"/>
        <v>1</v>
      </c>
      <c r="P82" t="str">
        <f ca="1">VLOOKUP('Master Sheet'!E82,'Code Options'!$A$1:$R$7,9)</f>
        <v>State_Code</v>
      </c>
      <c r="Q82" cm="1">
        <f t="array" aca="1" ref="Q82" ca="1">_xlfn.IFS(P82 ="State_Plan", RANDBETWEEN(1,23), P82 ="State_Code", RANDBETWEEN(1,23), P82 = "Fed_Code", 99, P82 = "Summ_Article", 999, P82 = "Guide", 999)</f>
        <v>11</v>
      </c>
      <c r="R82" t="str">
        <f ca="1">VLOOKUP(Q82,'States and Locations'!$A$1:$B$26,2)</f>
        <v>North Carolina</v>
      </c>
      <c r="S82">
        <f ca="1">VLOOKUP(Q82,'States and Locations'!$A$1:$D$26,3)</f>
        <v>35.783299999999997</v>
      </c>
      <c r="T82">
        <f ca="1">VLOOKUP(Q82,'States and Locations'!$A$1:$D$26,4)</f>
        <v>-79.816699999999997</v>
      </c>
      <c r="U82">
        <f t="shared" ca="1" si="19"/>
        <v>2</v>
      </c>
      <c r="V82" t="str">
        <f ca="1">VLOOKUP('Master Sheet'!E82,'Code Options'!$A$1:$R$7,10)</f>
        <v>Hab_enhancement</v>
      </c>
      <c r="W82">
        <f t="shared" ca="1" si="20"/>
        <v>4</v>
      </c>
      <c r="X82" t="str">
        <f ca="1">VLOOKUP('Master Sheet'!E82,'Code Options'!$A$1:$R$7,11)</f>
        <v>Rec_Fish</v>
      </c>
      <c r="Y82">
        <f t="shared" ca="1" si="21"/>
        <v>1</v>
      </c>
      <c r="Z82" t="str">
        <f ca="1">VLOOKUP('Master Sheet'!E82,'Code Options'!$A$1:$R$7,12)</f>
        <v>AR_proj_plan_mngrs</v>
      </c>
    </row>
    <row r="83" spans="1:26" x14ac:dyDescent="0.2">
      <c r="A83">
        <f t="shared" ca="1" si="11"/>
        <v>1</v>
      </c>
      <c r="B83" t="str">
        <f ca="1">VLOOKUP('Master Sheet'!A83,'Code Options'!$A$1:$B$7,2)</f>
        <v>Composite</v>
      </c>
      <c r="C83">
        <f t="shared" ca="1" si="12"/>
        <v>1</v>
      </c>
      <c r="D83" t="str">
        <f ca="1">VLOOKUP('Master Sheet'!C83,'Code Options'!$A$1:$R$7,3)</f>
        <v>Retro</v>
      </c>
      <c r="E83">
        <f t="shared" ca="1" si="13"/>
        <v>4</v>
      </c>
      <c r="F83" t="str">
        <f ca="1">VLOOKUP('Master Sheet'!E83,'Code Options'!$A$1:$R$7,4)</f>
        <v>LM</v>
      </c>
      <c r="G83">
        <f t="shared" ca="1" si="14"/>
        <v>3</v>
      </c>
      <c r="H83">
        <f ca="1">VLOOKUP('Master Sheet'!E83,'Code Options'!$A$1:$R$7,5)</f>
        <v>0</v>
      </c>
      <c r="I83">
        <f t="shared" ca="1" si="15"/>
        <v>4</v>
      </c>
      <c r="J83" t="str">
        <f ca="1">VLOOKUP('Master Sheet'!G83,'Code Options'!$A$1:$R$7,6)</f>
        <v>Regional</v>
      </c>
      <c r="K83">
        <f t="shared" ca="1" si="16"/>
        <v>4</v>
      </c>
      <c r="L83" t="str">
        <f ca="1">VLOOKUP('Master Sheet'!I83,'Code Options'!$A$1:$R$7,7)</f>
        <v>Biodiversity</v>
      </c>
      <c r="M83">
        <f t="shared" ca="1" si="17"/>
        <v>3</v>
      </c>
      <c r="N83" t="str">
        <f ca="1">VLOOKUP('Master Sheet'!K83,'Code Options'!$A$1:$R$7,8)</f>
        <v>Creation of AR Mat</v>
      </c>
      <c r="O83">
        <f t="shared" ca="1" si="18"/>
        <v>2</v>
      </c>
      <c r="P83" t="str">
        <f ca="1">VLOOKUP('Master Sheet'!E83,'Code Options'!$A$1:$R$7,9)</f>
        <v>Summ_Article</v>
      </c>
      <c r="Q83" cm="1">
        <f t="array" aca="1" ref="Q83" ca="1">_xlfn.IFS(P83 ="State_Plan", RANDBETWEEN(1,23), P83 ="State_Code", RANDBETWEEN(1,23), P83 = "Fed_Code", 99, P83 = "Summ_Article", 999, P83 = "Guide", 999)</f>
        <v>999</v>
      </c>
      <c r="R83" t="str">
        <f ca="1">VLOOKUP(Q83,'States and Locations'!$A$1:$B$26,2)</f>
        <v>UNK</v>
      </c>
      <c r="S83">
        <f ca="1">VLOOKUP(Q83,'States and Locations'!$A$1:$D$26,3)</f>
        <v>25</v>
      </c>
      <c r="T83">
        <f ca="1">VLOOKUP(Q83,'States and Locations'!$A$1:$D$26,4)</f>
        <v>-90</v>
      </c>
      <c r="U83">
        <f t="shared" ca="1" si="19"/>
        <v>2</v>
      </c>
      <c r="V83" t="str">
        <f ca="1">VLOOKUP('Master Sheet'!E83,'Code Options'!$A$1:$R$7,10)</f>
        <v>Hab_restoration</v>
      </c>
      <c r="W83">
        <f t="shared" ca="1" si="20"/>
        <v>3</v>
      </c>
      <c r="X83" t="str">
        <f ca="1">VLOOKUP('Master Sheet'!E83,'Code Options'!$A$1:$R$7,11)</f>
        <v>Non-Fish_rec</v>
      </c>
      <c r="Y83">
        <f t="shared" ca="1" si="21"/>
        <v>5</v>
      </c>
      <c r="Z83" t="str">
        <f ca="1">VLOOKUP('Master Sheet'!E83,'Code Options'!$A$1:$R$7,12)</f>
        <v>people_interested</v>
      </c>
    </row>
    <row r="84" spans="1:26" x14ac:dyDescent="0.2">
      <c r="A84">
        <f t="shared" ca="1" si="11"/>
        <v>4</v>
      </c>
      <c r="B84" t="str">
        <f ca="1">VLOOKUP('Master Sheet'!A84,'Code Options'!$A$1:$B$7,2)</f>
        <v>Other</v>
      </c>
      <c r="C84">
        <f t="shared" ca="1" si="12"/>
        <v>1</v>
      </c>
      <c r="D84" t="str">
        <f ca="1">VLOOKUP('Master Sheet'!C84,'Code Options'!$A$1:$R$7,3)</f>
        <v>Retro</v>
      </c>
      <c r="E84">
        <f t="shared" ca="1" si="13"/>
        <v>1</v>
      </c>
      <c r="F84" t="str">
        <f ca="1">VLOOKUP('Master Sheet'!E84,'Code Options'!$A$1:$R$7,4)</f>
        <v>Will</v>
      </c>
      <c r="G84">
        <f t="shared" ca="1" si="14"/>
        <v>3</v>
      </c>
      <c r="H84" t="str">
        <f ca="1">VLOOKUP('Master Sheet'!E84,'Code Options'!$A$1:$R$7,5)</f>
        <v>Will</v>
      </c>
      <c r="I84">
        <f t="shared" ca="1" si="15"/>
        <v>1</v>
      </c>
      <c r="J84" t="str">
        <f ca="1">VLOOKUP('Master Sheet'!G84,'Code Options'!$A$1:$R$7,6)</f>
        <v>Regional</v>
      </c>
      <c r="K84">
        <f t="shared" ca="1" si="16"/>
        <v>1</v>
      </c>
      <c r="L84" t="str">
        <f ca="1">VLOOKUP('Master Sheet'!I84,'Code Options'!$A$1:$R$7,7)</f>
        <v>Habitat</v>
      </c>
      <c r="M84">
        <f t="shared" ca="1" si="17"/>
        <v>1</v>
      </c>
      <c r="N84" t="str">
        <f ca="1">VLOOKUP('Master Sheet'!K84,'Code Options'!$A$1:$R$7,8)</f>
        <v>Fish.Enhancement</v>
      </c>
      <c r="O84">
        <f t="shared" ca="1" si="18"/>
        <v>3</v>
      </c>
      <c r="P84" t="str">
        <f ca="1">VLOOKUP('Master Sheet'!E84,'Code Options'!$A$1:$R$7,9)</f>
        <v>State_Code</v>
      </c>
      <c r="Q84" cm="1">
        <f t="array" aca="1" ref="Q84" ca="1">_xlfn.IFS(P84 ="State_Plan", RANDBETWEEN(1,23), P84 ="State_Code", RANDBETWEEN(1,23), P84 = "Fed_Code", 99, P84 = "Summ_Article", 999, P84 = "Guide", 999)</f>
        <v>2</v>
      </c>
      <c r="R84" t="str">
        <f ca="1">VLOOKUP(Q84,'States and Locations'!$A$1:$B$26,2)</f>
        <v>New Hampshire</v>
      </c>
      <c r="S84">
        <f ca="1">VLOOKUP(Q84,'States and Locations'!$A$1:$D$26,3)</f>
        <v>43.683300000000003</v>
      </c>
      <c r="T84">
        <f ca="1">VLOOKUP(Q84,'States and Locations'!$A$1:$D$26,4)</f>
        <v>-71.583299999999994</v>
      </c>
      <c r="U84">
        <f t="shared" ca="1" si="19"/>
        <v>4</v>
      </c>
      <c r="V84" t="str">
        <f ca="1">VLOOKUP('Master Sheet'!E84,'Code Options'!$A$1:$R$7,10)</f>
        <v>Hab_enhancement</v>
      </c>
      <c r="W84">
        <f t="shared" ca="1" si="20"/>
        <v>1</v>
      </c>
      <c r="X84" t="str">
        <f ca="1">VLOOKUP('Master Sheet'!E84,'Code Options'!$A$1:$R$7,11)</f>
        <v>Rec_Fish</v>
      </c>
      <c r="Y84">
        <f t="shared" ca="1" si="21"/>
        <v>3</v>
      </c>
      <c r="Z84" t="str">
        <f ca="1">VLOOKUP('Master Sheet'!E84,'Code Options'!$A$1:$R$7,12)</f>
        <v>AR_proj_plan_mngrs</v>
      </c>
    </row>
    <row r="85" spans="1:26" x14ac:dyDescent="0.2">
      <c r="A85">
        <f t="shared" ca="1" si="11"/>
        <v>6</v>
      </c>
      <c r="B85" t="str">
        <f ca="1">VLOOKUP('Master Sheet'!A85,'Code Options'!$A$1:$B$7,2)</f>
        <v>Tires/Rubber</v>
      </c>
      <c r="C85">
        <f t="shared" ca="1" si="12"/>
        <v>2</v>
      </c>
      <c r="D85" t="str">
        <f ca="1">VLOOKUP('Master Sheet'!C85,'Code Options'!$A$1:$R$7,3)</f>
        <v>Pro</v>
      </c>
      <c r="E85">
        <f t="shared" ca="1" si="13"/>
        <v>1</v>
      </c>
      <c r="F85" t="str">
        <f ca="1">VLOOKUP('Master Sheet'!E85,'Code Options'!$A$1:$R$7,4)</f>
        <v>Will</v>
      </c>
      <c r="G85">
        <f t="shared" ca="1" si="14"/>
        <v>1</v>
      </c>
      <c r="H85" t="str">
        <f ca="1">VLOOKUP('Master Sheet'!E85,'Code Options'!$A$1:$R$7,5)</f>
        <v>Will</v>
      </c>
      <c r="I85">
        <f t="shared" ca="1" si="15"/>
        <v>4</v>
      </c>
      <c r="J85" t="str">
        <f ca="1">VLOOKUP('Master Sheet'!G85,'Code Options'!$A$1:$R$7,6)</f>
        <v>County/Local</v>
      </c>
      <c r="K85">
        <f t="shared" ca="1" si="16"/>
        <v>2</v>
      </c>
      <c r="L85" t="str">
        <f ca="1">VLOOKUP('Master Sheet'!I85,'Code Options'!$A$1:$R$7,7)</f>
        <v>Biodiversity</v>
      </c>
      <c r="M85">
        <f t="shared" ca="1" si="17"/>
        <v>4</v>
      </c>
      <c r="N85" t="str">
        <f ca="1">VLOOKUP('Master Sheet'!K85,'Code Options'!$A$1:$R$7,8)</f>
        <v>Comm.Fish.Mngmt</v>
      </c>
      <c r="O85">
        <f t="shared" ca="1" si="18"/>
        <v>1</v>
      </c>
      <c r="P85" t="str">
        <f ca="1">VLOOKUP('Master Sheet'!E85,'Code Options'!$A$1:$R$7,9)</f>
        <v>State_Code</v>
      </c>
      <c r="Q85" cm="1">
        <f t="array" aca="1" ref="Q85" ca="1">_xlfn.IFS(P85 ="State_Plan", RANDBETWEEN(1,23), P85 ="State_Code", RANDBETWEEN(1,23), P85 = "Fed_Code", 99, P85 = "Summ_Article", 999, P85 = "Guide", 999)</f>
        <v>11</v>
      </c>
      <c r="R85" t="str">
        <f ca="1">VLOOKUP(Q85,'States and Locations'!$A$1:$B$26,2)</f>
        <v>North Carolina</v>
      </c>
      <c r="S85">
        <f ca="1">VLOOKUP(Q85,'States and Locations'!$A$1:$D$26,3)</f>
        <v>35.783299999999997</v>
      </c>
      <c r="T85">
        <f ca="1">VLOOKUP(Q85,'States and Locations'!$A$1:$D$26,4)</f>
        <v>-79.816699999999997</v>
      </c>
      <c r="U85">
        <f t="shared" ca="1" si="19"/>
        <v>3</v>
      </c>
      <c r="V85" t="str">
        <f ca="1">VLOOKUP('Master Sheet'!E85,'Code Options'!$A$1:$R$7,10)</f>
        <v>Hab_enhancement</v>
      </c>
      <c r="W85">
        <f t="shared" ca="1" si="20"/>
        <v>4</v>
      </c>
      <c r="X85" t="str">
        <f ca="1">VLOOKUP('Master Sheet'!E85,'Code Options'!$A$1:$R$7,11)</f>
        <v>Rec_Fish</v>
      </c>
      <c r="Y85">
        <f t="shared" ca="1" si="21"/>
        <v>5</v>
      </c>
      <c r="Z85" t="str">
        <f ca="1">VLOOKUP('Master Sheet'!E85,'Code Options'!$A$1:$R$7,12)</f>
        <v>AR_proj_plan_mngrs</v>
      </c>
    </row>
    <row r="86" spans="1:26" x14ac:dyDescent="0.2">
      <c r="A86">
        <f t="shared" ca="1" si="11"/>
        <v>1</v>
      </c>
      <c r="B86" t="str">
        <f ca="1">VLOOKUP('Master Sheet'!A86,'Code Options'!$A$1:$B$7,2)</f>
        <v>Composite</v>
      </c>
      <c r="C86">
        <f t="shared" ca="1" si="12"/>
        <v>2</v>
      </c>
      <c r="D86" t="str">
        <f ca="1">VLOOKUP('Master Sheet'!C86,'Code Options'!$A$1:$R$7,3)</f>
        <v>Pro</v>
      </c>
      <c r="E86">
        <f t="shared" ca="1" si="13"/>
        <v>1</v>
      </c>
      <c r="F86" t="str">
        <f ca="1">VLOOKUP('Master Sheet'!E86,'Code Options'!$A$1:$R$7,4)</f>
        <v>Will</v>
      </c>
      <c r="G86">
        <f t="shared" ca="1" si="14"/>
        <v>2</v>
      </c>
      <c r="H86" t="str">
        <f ca="1">VLOOKUP('Master Sheet'!E86,'Code Options'!$A$1:$R$7,5)</f>
        <v>Will</v>
      </c>
      <c r="I86">
        <f t="shared" ca="1" si="15"/>
        <v>1</v>
      </c>
      <c r="J86" t="str">
        <f ca="1">VLOOKUP('Master Sheet'!G86,'Code Options'!$A$1:$R$7,6)</f>
        <v>State</v>
      </c>
      <c r="K86">
        <f t="shared" ca="1" si="16"/>
        <v>4</v>
      </c>
      <c r="L86" t="str">
        <f ca="1">VLOOKUP('Master Sheet'!I86,'Code Options'!$A$1:$R$7,7)</f>
        <v>Habitat</v>
      </c>
      <c r="M86">
        <f t="shared" ca="1" si="17"/>
        <v>5</v>
      </c>
      <c r="N86" t="str">
        <f ca="1">VLOOKUP('Master Sheet'!K86,'Code Options'!$A$1:$R$7,8)</f>
        <v>Creation of AR Mat</v>
      </c>
      <c r="O86">
        <f t="shared" ca="1" si="18"/>
        <v>2</v>
      </c>
      <c r="P86" t="str">
        <f ca="1">VLOOKUP('Master Sheet'!E86,'Code Options'!$A$1:$R$7,9)</f>
        <v>State_Code</v>
      </c>
      <c r="Q86" cm="1">
        <f t="array" aca="1" ref="Q86" ca="1">_xlfn.IFS(P86 ="State_Plan", RANDBETWEEN(1,23), P86 ="State_Code", RANDBETWEEN(1,23), P86 = "Fed_Code", 99, P86 = "Summ_Article", 999, P86 = "Guide", 999)</f>
        <v>16</v>
      </c>
      <c r="R86" t="str">
        <f ca="1">VLOOKUP(Q86,'States and Locations'!$A$1:$B$26,2)</f>
        <v>Louisiana</v>
      </c>
      <c r="S86">
        <f ca="1">VLOOKUP(Q86,'States and Locations'!$A$1:$D$26,3)</f>
        <v>30.4</v>
      </c>
      <c r="T86">
        <f ca="1">VLOOKUP(Q86,'States and Locations'!$A$1:$D$26,4)</f>
        <v>-92.333299999999994</v>
      </c>
      <c r="U86">
        <f t="shared" ca="1" si="19"/>
        <v>2</v>
      </c>
      <c r="V86" t="str">
        <f ca="1">VLOOKUP('Master Sheet'!E86,'Code Options'!$A$1:$R$7,10)</f>
        <v>Hab_enhancement</v>
      </c>
      <c r="W86">
        <f t="shared" ca="1" si="20"/>
        <v>2</v>
      </c>
      <c r="X86" t="str">
        <f ca="1">VLOOKUP('Master Sheet'!E86,'Code Options'!$A$1:$R$7,11)</f>
        <v>Rec_Fish</v>
      </c>
      <c r="Y86">
        <f t="shared" ca="1" si="21"/>
        <v>5</v>
      </c>
      <c r="Z86" t="str">
        <f ca="1">VLOOKUP('Master Sheet'!E86,'Code Options'!$A$1:$R$7,12)</f>
        <v>AR_proj_plan_mngrs</v>
      </c>
    </row>
    <row r="87" spans="1:26" x14ac:dyDescent="0.2">
      <c r="A87">
        <f t="shared" ca="1" si="11"/>
        <v>1</v>
      </c>
      <c r="B87" t="str">
        <f ca="1">VLOOKUP('Master Sheet'!A87,'Code Options'!$A$1:$B$7,2)</f>
        <v>Composite</v>
      </c>
      <c r="C87">
        <f t="shared" ca="1" si="12"/>
        <v>2</v>
      </c>
      <c r="D87" t="str">
        <f ca="1">VLOOKUP('Master Sheet'!C87,'Code Options'!$A$1:$R$7,3)</f>
        <v>Pro</v>
      </c>
      <c r="E87">
        <f t="shared" ca="1" si="13"/>
        <v>1</v>
      </c>
      <c r="F87" t="str">
        <f ca="1">VLOOKUP('Master Sheet'!E87,'Code Options'!$A$1:$R$7,4)</f>
        <v>Will</v>
      </c>
      <c r="G87">
        <f t="shared" ca="1" si="14"/>
        <v>3</v>
      </c>
      <c r="H87" t="str">
        <f ca="1">VLOOKUP('Master Sheet'!E87,'Code Options'!$A$1:$R$7,5)</f>
        <v>Will</v>
      </c>
      <c r="I87">
        <f t="shared" ca="1" si="15"/>
        <v>2</v>
      </c>
      <c r="J87" t="str">
        <f ca="1">VLOOKUP('Master Sheet'!G87,'Code Options'!$A$1:$R$7,6)</f>
        <v>Regional</v>
      </c>
      <c r="K87">
        <f t="shared" ca="1" si="16"/>
        <v>2</v>
      </c>
      <c r="L87" t="str">
        <f ca="1">VLOOKUP('Master Sheet'!I87,'Code Options'!$A$1:$R$7,7)</f>
        <v>Production</v>
      </c>
      <c r="M87">
        <f t="shared" ca="1" si="17"/>
        <v>1</v>
      </c>
      <c r="N87" t="str">
        <f ca="1">VLOOKUP('Master Sheet'!K87,'Code Options'!$A$1:$R$7,8)</f>
        <v>Comm.Fish.Mngmt</v>
      </c>
      <c r="O87">
        <f t="shared" ca="1" si="18"/>
        <v>3</v>
      </c>
      <c r="P87" t="str">
        <f ca="1">VLOOKUP('Master Sheet'!E87,'Code Options'!$A$1:$R$7,9)</f>
        <v>State_Code</v>
      </c>
      <c r="Q87" cm="1">
        <f t="array" aca="1" ref="Q87" ca="1">_xlfn.IFS(P87 ="State_Plan", RANDBETWEEN(1,23), P87 ="State_Code", RANDBETWEEN(1,23), P87 = "Fed_Code", 99, P87 = "Summ_Article", 999, P87 = "Guide", 999)</f>
        <v>17</v>
      </c>
      <c r="R87" t="str">
        <f ca="1">VLOOKUP(Q87,'States and Locations'!$A$1:$B$26,2)</f>
        <v>Mississippi</v>
      </c>
      <c r="S87">
        <f ca="1">VLOOKUP(Q87,'States and Locations'!$A$1:$D$26,3)</f>
        <v>32.7333</v>
      </c>
      <c r="T87">
        <f ca="1">VLOOKUP(Q87,'States and Locations'!$A$1:$D$26,4)</f>
        <v>-89.666700000000006</v>
      </c>
      <c r="U87">
        <f t="shared" ca="1" si="19"/>
        <v>5</v>
      </c>
      <c r="V87" t="str">
        <f ca="1">VLOOKUP('Master Sheet'!E87,'Code Options'!$A$1:$R$7,10)</f>
        <v>Hab_enhancement</v>
      </c>
      <c r="W87">
        <f t="shared" ca="1" si="20"/>
        <v>4</v>
      </c>
      <c r="X87" t="str">
        <f ca="1">VLOOKUP('Master Sheet'!E87,'Code Options'!$A$1:$R$7,11)</f>
        <v>Rec_Fish</v>
      </c>
      <c r="Y87">
        <f t="shared" ca="1" si="21"/>
        <v>5</v>
      </c>
      <c r="Z87" t="str">
        <f ca="1">VLOOKUP('Master Sheet'!E87,'Code Options'!$A$1:$R$7,12)</f>
        <v>AR_proj_plan_mngrs</v>
      </c>
    </row>
    <row r="88" spans="1:26" x14ac:dyDescent="0.2">
      <c r="A88">
        <f t="shared" ca="1" si="11"/>
        <v>1</v>
      </c>
      <c r="B88" t="str">
        <f ca="1">VLOOKUP('Master Sheet'!A88,'Code Options'!$A$1:$B$7,2)</f>
        <v>Composite</v>
      </c>
      <c r="C88">
        <f t="shared" ca="1" si="12"/>
        <v>3</v>
      </c>
      <c r="D88" t="str">
        <f ca="1">VLOOKUP('Master Sheet'!C88,'Code Options'!$A$1:$R$7,3)</f>
        <v>Unsure</v>
      </c>
      <c r="E88">
        <f t="shared" ca="1" si="13"/>
        <v>1</v>
      </c>
      <c r="F88" t="str">
        <f ca="1">VLOOKUP('Master Sheet'!E88,'Code Options'!$A$1:$R$7,4)</f>
        <v>Will</v>
      </c>
      <c r="G88">
        <f t="shared" ca="1" si="14"/>
        <v>1</v>
      </c>
      <c r="H88" t="str">
        <f ca="1">VLOOKUP('Master Sheet'!E88,'Code Options'!$A$1:$R$7,5)</f>
        <v>Will</v>
      </c>
      <c r="I88">
        <f t="shared" ca="1" si="15"/>
        <v>2</v>
      </c>
      <c r="J88" t="str">
        <f ca="1">VLOOKUP('Master Sheet'!G88,'Code Options'!$A$1:$R$7,6)</f>
        <v>County/Local</v>
      </c>
      <c r="K88">
        <f t="shared" ca="1" si="16"/>
        <v>1</v>
      </c>
      <c r="L88" t="str">
        <f ca="1">VLOOKUP('Master Sheet'!I88,'Code Options'!$A$1:$R$7,7)</f>
        <v>Production</v>
      </c>
      <c r="M88">
        <f t="shared" ca="1" si="17"/>
        <v>2</v>
      </c>
      <c r="N88" t="str">
        <f ca="1">VLOOKUP('Master Sheet'!K88,'Code Options'!$A$1:$R$7,8)</f>
        <v>Fish.Enhancement</v>
      </c>
      <c r="O88">
        <f t="shared" ca="1" si="18"/>
        <v>3</v>
      </c>
      <c r="P88" t="str">
        <f ca="1">VLOOKUP('Master Sheet'!E88,'Code Options'!$A$1:$R$7,9)</f>
        <v>State_Code</v>
      </c>
      <c r="Q88" cm="1">
        <f t="array" aca="1" ref="Q88" ca="1">_xlfn.IFS(P88 ="State_Plan", RANDBETWEEN(1,23), P88 ="State_Code", RANDBETWEEN(1,23), P88 = "Fed_Code", 99, P88 = "Summ_Article", 999, P88 = "Guide", 999)</f>
        <v>7</v>
      </c>
      <c r="R88" t="str">
        <f ca="1">VLOOKUP(Q88,'States and Locations'!$A$1:$B$26,2)</f>
        <v>New Jersey</v>
      </c>
      <c r="S88">
        <f ca="1">VLOOKUP(Q88,'States and Locations'!$A$1:$D$26,3)</f>
        <v>39.833300000000001</v>
      </c>
      <c r="T88">
        <f ca="1">VLOOKUP(Q88,'States and Locations'!$A$1:$D$26,4)</f>
        <v>-74.866699999999994</v>
      </c>
      <c r="U88">
        <f t="shared" ca="1" si="19"/>
        <v>5</v>
      </c>
      <c r="V88" t="str">
        <f ca="1">VLOOKUP('Master Sheet'!E88,'Code Options'!$A$1:$R$7,10)</f>
        <v>Hab_enhancement</v>
      </c>
      <c r="W88">
        <f t="shared" ca="1" si="20"/>
        <v>4</v>
      </c>
      <c r="X88" t="str">
        <f ca="1">VLOOKUP('Master Sheet'!E88,'Code Options'!$A$1:$R$7,11)</f>
        <v>Rec_Fish</v>
      </c>
      <c r="Y88">
        <f t="shared" ca="1" si="21"/>
        <v>1</v>
      </c>
      <c r="Z88" t="str">
        <f ca="1">VLOOKUP('Master Sheet'!E88,'Code Options'!$A$1:$R$7,12)</f>
        <v>AR_proj_plan_mngrs</v>
      </c>
    </row>
    <row r="89" spans="1:26" x14ac:dyDescent="0.2">
      <c r="A89">
        <f t="shared" ca="1" si="11"/>
        <v>1</v>
      </c>
      <c r="B89" t="str">
        <f ca="1">VLOOKUP('Master Sheet'!A89,'Code Options'!$A$1:$B$7,2)</f>
        <v>Composite</v>
      </c>
      <c r="C89">
        <f t="shared" ca="1" si="12"/>
        <v>1</v>
      </c>
      <c r="D89" t="str">
        <f ca="1">VLOOKUP('Master Sheet'!C89,'Code Options'!$A$1:$R$7,3)</f>
        <v>Retro</v>
      </c>
      <c r="E89">
        <f t="shared" ca="1" si="13"/>
        <v>2</v>
      </c>
      <c r="F89" t="str">
        <f ca="1">VLOOKUP('Master Sheet'!E89,'Code Options'!$A$1:$R$7,4)</f>
        <v>Cyndi</v>
      </c>
      <c r="G89">
        <f t="shared" ca="1" si="14"/>
        <v>2</v>
      </c>
      <c r="H89" t="str">
        <f ca="1">VLOOKUP('Master Sheet'!E89,'Code Options'!$A$1:$R$7,5)</f>
        <v>Cyndi</v>
      </c>
      <c r="I89">
        <f t="shared" ca="1" si="15"/>
        <v>1</v>
      </c>
      <c r="J89" t="str">
        <f ca="1">VLOOKUP('Master Sheet'!G89,'Code Options'!$A$1:$R$7,6)</f>
        <v>State</v>
      </c>
      <c r="K89">
        <f t="shared" ca="1" si="16"/>
        <v>3</v>
      </c>
      <c r="L89" t="str">
        <f ca="1">VLOOKUP('Master Sheet'!I89,'Code Options'!$A$1:$R$7,7)</f>
        <v>Habitat</v>
      </c>
      <c r="M89">
        <f t="shared" ca="1" si="17"/>
        <v>5</v>
      </c>
      <c r="N89" t="str">
        <f ca="1">VLOOKUP('Master Sheet'!K89,'Code Options'!$A$1:$R$7,8)</f>
        <v>Rec.Fish.Mngmt</v>
      </c>
      <c r="O89">
        <f t="shared" ca="1" si="18"/>
        <v>5</v>
      </c>
      <c r="P89" t="str">
        <f ca="1">VLOOKUP('Master Sheet'!E89,'Code Options'!$A$1:$R$7,9)</f>
        <v>Fed_Code</v>
      </c>
      <c r="Q89" cm="1">
        <f t="array" aca="1" ref="Q89" ca="1">_xlfn.IFS(P89 ="State_Plan", RANDBETWEEN(1,23), P89 ="State_Code", RANDBETWEEN(1,23), P89 = "Fed_Code", 99, P89 = "Summ_Article", 999, P89 = "Guide", 999)</f>
        <v>99</v>
      </c>
      <c r="R89" t="str">
        <f ca="1">VLOOKUP(Q89,'States and Locations'!$A$1:$B$26,2)</f>
        <v>National</v>
      </c>
      <c r="S89">
        <f ca="1">VLOOKUP(Q89,'States and Locations'!$A$1:$D$26,3)</f>
        <v>39.833300000000001</v>
      </c>
      <c r="T89">
        <f ca="1">VLOOKUP(Q89,'States and Locations'!$A$1:$D$26,4)</f>
        <v>-98.583299999999994</v>
      </c>
      <c r="U89">
        <f t="shared" ca="1" si="19"/>
        <v>4</v>
      </c>
      <c r="V89" t="str">
        <f ca="1">VLOOKUP('Master Sheet'!E89,'Code Options'!$A$1:$R$7,10)</f>
        <v>Disposal</v>
      </c>
      <c r="W89">
        <f t="shared" ca="1" si="20"/>
        <v>2</v>
      </c>
      <c r="X89" t="str">
        <f ca="1">VLOOKUP('Master Sheet'!E89,'Code Options'!$A$1:$R$7,11)</f>
        <v>Comm_Fish</v>
      </c>
      <c r="Y89">
        <f t="shared" ca="1" si="21"/>
        <v>3</v>
      </c>
      <c r="Z89" t="str">
        <f ca="1">VLOOKUP('Master Sheet'!E89,'Code Options'!$A$1:$R$7,12)</f>
        <v>AS_constructors</v>
      </c>
    </row>
    <row r="90" spans="1:26" x14ac:dyDescent="0.2">
      <c r="A90">
        <f t="shared" ca="1" si="11"/>
        <v>3</v>
      </c>
      <c r="B90" t="str">
        <f ca="1">VLOOKUP('Master Sheet'!A90,'Code Options'!$A$1:$B$7,2)</f>
        <v>Metal</v>
      </c>
      <c r="C90">
        <f t="shared" ca="1" si="12"/>
        <v>2</v>
      </c>
      <c r="D90" t="str">
        <f ca="1">VLOOKUP('Master Sheet'!C90,'Code Options'!$A$1:$R$7,3)</f>
        <v>Pro</v>
      </c>
      <c r="E90">
        <f t="shared" ca="1" si="13"/>
        <v>5</v>
      </c>
      <c r="F90" t="str">
        <f ca="1">VLOOKUP('Master Sheet'!E90,'Code Options'!$A$1:$R$7,4)</f>
        <v>Nick</v>
      </c>
      <c r="G90">
        <f t="shared" ca="1" si="14"/>
        <v>3</v>
      </c>
      <c r="H90">
        <f ca="1">VLOOKUP('Master Sheet'!E90,'Code Options'!$A$1:$R$7,5)</f>
        <v>0</v>
      </c>
      <c r="I90">
        <f t="shared" ca="1" si="15"/>
        <v>4</v>
      </c>
      <c r="J90" t="str">
        <f ca="1">VLOOKUP('Master Sheet'!G90,'Code Options'!$A$1:$R$7,6)</f>
        <v>Regional</v>
      </c>
      <c r="K90">
        <f t="shared" ca="1" si="16"/>
        <v>3</v>
      </c>
      <c r="L90" t="str">
        <f ca="1">VLOOKUP('Master Sheet'!I90,'Code Options'!$A$1:$R$7,7)</f>
        <v>Biodiversity</v>
      </c>
      <c r="M90">
        <f t="shared" ca="1" si="17"/>
        <v>5</v>
      </c>
      <c r="N90" t="str">
        <f ca="1">VLOOKUP('Master Sheet'!K90,'Code Options'!$A$1:$R$7,8)</f>
        <v>Rec.Fish.Mngmt</v>
      </c>
      <c r="O90">
        <f t="shared" ca="1" si="18"/>
        <v>3</v>
      </c>
      <c r="P90" t="str">
        <f ca="1">VLOOKUP('Master Sheet'!E90,'Code Options'!$A$1:$R$7,9)</f>
        <v>Guide</v>
      </c>
      <c r="Q90" cm="1">
        <f t="array" aca="1" ref="Q90" ca="1">_xlfn.IFS(P90 ="State_Plan", RANDBETWEEN(1,23), P90 ="State_Code", RANDBETWEEN(1,23), P90 = "Fed_Code", 99, P90 = "Summ_Article", 999, P90 = "Guide", 999)</f>
        <v>999</v>
      </c>
      <c r="R90" t="str">
        <f ca="1">VLOOKUP(Q90,'States and Locations'!$A$1:$B$26,2)</f>
        <v>UNK</v>
      </c>
      <c r="S90">
        <f ca="1">VLOOKUP(Q90,'States and Locations'!$A$1:$D$26,3)</f>
        <v>25</v>
      </c>
      <c r="T90">
        <f ca="1">VLOOKUP(Q90,'States and Locations'!$A$1:$D$26,4)</f>
        <v>-90</v>
      </c>
      <c r="U90">
        <f t="shared" ca="1" si="19"/>
        <v>1</v>
      </c>
      <c r="V90" t="str">
        <f ca="1">VLOOKUP('Master Sheet'!E90,'Code Options'!$A$1:$R$7,10)</f>
        <v>Wave_attenuation</v>
      </c>
      <c r="W90">
        <f t="shared" ca="1" si="20"/>
        <v>2</v>
      </c>
      <c r="X90" t="str">
        <f ca="1">VLOOKUP('Master Sheet'!E90,'Code Options'!$A$1:$R$7,11)</f>
        <v>Scuba</v>
      </c>
      <c r="Y90">
        <f t="shared" ca="1" si="21"/>
        <v>1</v>
      </c>
      <c r="Z90" t="str">
        <f ca="1">VLOOKUP('Master Sheet'!E90,'Code Options'!$A$1:$R$7,12)</f>
        <v>anglers</v>
      </c>
    </row>
    <row r="91" spans="1:26" x14ac:dyDescent="0.2">
      <c r="A91">
        <f t="shared" ca="1" si="11"/>
        <v>3</v>
      </c>
      <c r="B91" t="str">
        <f ca="1">VLOOKUP('Master Sheet'!A91,'Code Options'!$A$1:$B$7,2)</f>
        <v>Metal</v>
      </c>
      <c r="C91">
        <f t="shared" ca="1" si="12"/>
        <v>2</v>
      </c>
      <c r="D91" t="str">
        <f ca="1">VLOOKUP('Master Sheet'!C91,'Code Options'!$A$1:$R$7,3)</f>
        <v>Pro</v>
      </c>
      <c r="E91">
        <f t="shared" ca="1" si="13"/>
        <v>5</v>
      </c>
      <c r="F91" t="str">
        <f ca="1">VLOOKUP('Master Sheet'!E91,'Code Options'!$A$1:$R$7,4)</f>
        <v>Nick</v>
      </c>
      <c r="G91">
        <f t="shared" ca="1" si="14"/>
        <v>2</v>
      </c>
      <c r="H91">
        <f ca="1">VLOOKUP('Master Sheet'!E91,'Code Options'!$A$1:$R$7,5)</f>
        <v>0</v>
      </c>
      <c r="I91">
        <f t="shared" ca="1" si="15"/>
        <v>1</v>
      </c>
      <c r="J91" t="str">
        <f ca="1">VLOOKUP('Master Sheet'!G91,'Code Options'!$A$1:$R$7,6)</f>
        <v>State</v>
      </c>
      <c r="K91">
        <f t="shared" ca="1" si="16"/>
        <v>2</v>
      </c>
      <c r="L91" t="str">
        <f ca="1">VLOOKUP('Master Sheet'!I91,'Code Options'!$A$1:$R$7,7)</f>
        <v>Habitat</v>
      </c>
      <c r="M91">
        <f t="shared" ca="1" si="17"/>
        <v>5</v>
      </c>
      <c r="N91" t="str">
        <f ca="1">VLOOKUP('Master Sheet'!K91,'Code Options'!$A$1:$R$7,8)</f>
        <v>Comm.Fish.Mngmt</v>
      </c>
      <c r="O91">
        <f t="shared" ca="1" si="18"/>
        <v>4</v>
      </c>
      <c r="P91" t="str">
        <f ca="1">VLOOKUP('Master Sheet'!E91,'Code Options'!$A$1:$R$7,9)</f>
        <v>Guide</v>
      </c>
      <c r="Q91" cm="1">
        <f t="array" aca="1" ref="Q91" ca="1">_xlfn.IFS(P91 ="State_Plan", RANDBETWEEN(1,23), P91 ="State_Code", RANDBETWEEN(1,23), P91 = "Fed_Code", 99, P91 = "Summ_Article", 999, P91 = "Guide", 999)</f>
        <v>999</v>
      </c>
      <c r="R91" t="str">
        <f ca="1">VLOOKUP(Q91,'States and Locations'!$A$1:$B$26,2)</f>
        <v>UNK</v>
      </c>
      <c r="S91">
        <f ca="1">VLOOKUP(Q91,'States and Locations'!$A$1:$D$26,3)</f>
        <v>25</v>
      </c>
      <c r="T91">
        <f ca="1">VLOOKUP(Q91,'States and Locations'!$A$1:$D$26,4)</f>
        <v>-90</v>
      </c>
      <c r="U91">
        <f t="shared" ca="1" si="19"/>
        <v>1</v>
      </c>
      <c r="V91" t="str">
        <f ca="1">VLOOKUP('Master Sheet'!E91,'Code Options'!$A$1:$R$7,10)</f>
        <v>Wave_attenuation</v>
      </c>
      <c r="W91">
        <f t="shared" ca="1" si="20"/>
        <v>1</v>
      </c>
      <c r="X91" t="str">
        <f ca="1">VLOOKUP('Master Sheet'!E91,'Code Options'!$A$1:$R$7,11)</f>
        <v>Scuba</v>
      </c>
      <c r="Y91">
        <f t="shared" ca="1" si="21"/>
        <v>4</v>
      </c>
      <c r="Z91" t="str">
        <f ca="1">VLOOKUP('Master Sheet'!E91,'Code Options'!$A$1:$R$7,12)</f>
        <v>anglers</v>
      </c>
    </row>
    <row r="92" spans="1:26" x14ac:dyDescent="0.2">
      <c r="A92">
        <f t="shared" ca="1" si="11"/>
        <v>2</v>
      </c>
      <c r="B92" t="str">
        <f ca="1">VLOOKUP('Master Sheet'!A92,'Code Options'!$A$1:$B$7,2)</f>
        <v>Concrete</v>
      </c>
      <c r="C92">
        <f t="shared" ca="1" si="12"/>
        <v>1</v>
      </c>
      <c r="D92" t="str">
        <f ca="1">VLOOKUP('Master Sheet'!C92,'Code Options'!$A$1:$R$7,3)</f>
        <v>Retro</v>
      </c>
      <c r="E92">
        <f t="shared" ca="1" si="13"/>
        <v>4</v>
      </c>
      <c r="F92" t="str">
        <f ca="1">VLOOKUP('Master Sheet'!E92,'Code Options'!$A$1:$R$7,4)</f>
        <v>LM</v>
      </c>
      <c r="G92">
        <f t="shared" ca="1" si="14"/>
        <v>1</v>
      </c>
      <c r="H92">
        <f ca="1">VLOOKUP('Master Sheet'!E92,'Code Options'!$A$1:$R$7,5)</f>
        <v>0</v>
      </c>
      <c r="I92">
        <f t="shared" ca="1" si="15"/>
        <v>3</v>
      </c>
      <c r="J92" t="str">
        <f ca="1">VLOOKUP('Master Sheet'!G92,'Code Options'!$A$1:$R$7,6)</f>
        <v>County/Local</v>
      </c>
      <c r="K92">
        <f t="shared" ca="1" si="16"/>
        <v>3</v>
      </c>
      <c r="L92" t="str">
        <f ca="1">VLOOKUP('Master Sheet'!I92,'Code Options'!$A$1:$R$7,7)</f>
        <v>Aggregation</v>
      </c>
      <c r="M92">
        <f t="shared" ca="1" si="17"/>
        <v>5</v>
      </c>
      <c r="N92" t="str">
        <f ca="1">VLOOKUP('Master Sheet'!K92,'Code Options'!$A$1:$R$7,8)</f>
        <v>Rec.Fish.Mngmt</v>
      </c>
      <c r="O92">
        <f t="shared" ca="1" si="18"/>
        <v>4</v>
      </c>
      <c r="P92" t="str">
        <f ca="1">VLOOKUP('Master Sheet'!E92,'Code Options'!$A$1:$R$7,9)</f>
        <v>Summ_Article</v>
      </c>
      <c r="Q92" cm="1">
        <f t="array" aca="1" ref="Q92" ca="1">_xlfn.IFS(P92 ="State_Plan", RANDBETWEEN(1,23), P92 ="State_Code", RANDBETWEEN(1,23), P92 = "Fed_Code", 99, P92 = "Summ_Article", 999, P92 = "Guide", 999)</f>
        <v>999</v>
      </c>
      <c r="R92" t="str">
        <f ca="1">VLOOKUP(Q92,'States and Locations'!$A$1:$B$26,2)</f>
        <v>UNK</v>
      </c>
      <c r="S92">
        <f ca="1">VLOOKUP(Q92,'States and Locations'!$A$1:$D$26,3)</f>
        <v>25</v>
      </c>
      <c r="T92">
        <f ca="1">VLOOKUP(Q92,'States and Locations'!$A$1:$D$26,4)</f>
        <v>-90</v>
      </c>
      <c r="U92">
        <f t="shared" ca="1" si="19"/>
        <v>2</v>
      </c>
      <c r="V92" t="str">
        <f ca="1">VLOOKUP('Master Sheet'!E92,'Code Options'!$A$1:$R$7,10)</f>
        <v>Hab_restoration</v>
      </c>
      <c r="W92">
        <f t="shared" ca="1" si="20"/>
        <v>4</v>
      </c>
      <c r="X92" t="str">
        <f ca="1">VLOOKUP('Master Sheet'!E92,'Code Options'!$A$1:$R$7,11)</f>
        <v>Non-Fish_rec</v>
      </c>
      <c r="Y92">
        <f t="shared" ca="1" si="21"/>
        <v>1</v>
      </c>
      <c r="Z92" t="str">
        <f ca="1">VLOOKUP('Master Sheet'!E92,'Code Options'!$A$1:$R$7,12)</f>
        <v>people_interested</v>
      </c>
    </row>
    <row r="93" spans="1:26" x14ac:dyDescent="0.2">
      <c r="A93">
        <f t="shared" ca="1" si="11"/>
        <v>6</v>
      </c>
      <c r="B93" t="str">
        <f ca="1">VLOOKUP('Master Sheet'!A93,'Code Options'!$A$1:$B$7,2)</f>
        <v>Tires/Rubber</v>
      </c>
      <c r="C93">
        <f t="shared" ca="1" si="12"/>
        <v>3</v>
      </c>
      <c r="D93" t="str">
        <f ca="1">VLOOKUP('Master Sheet'!C93,'Code Options'!$A$1:$R$7,3)</f>
        <v>Unsure</v>
      </c>
      <c r="E93">
        <f t="shared" ca="1" si="13"/>
        <v>2</v>
      </c>
      <c r="F93" t="str">
        <f ca="1">VLOOKUP('Master Sheet'!E93,'Code Options'!$A$1:$R$7,4)</f>
        <v>Cyndi</v>
      </c>
      <c r="G93">
        <f t="shared" ca="1" si="14"/>
        <v>3</v>
      </c>
      <c r="H93" t="str">
        <f ca="1">VLOOKUP('Master Sheet'!E93,'Code Options'!$A$1:$R$7,5)</f>
        <v>Cyndi</v>
      </c>
      <c r="I93">
        <f t="shared" ca="1" si="15"/>
        <v>3</v>
      </c>
      <c r="J93" t="str">
        <f ca="1">VLOOKUP('Master Sheet'!G93,'Code Options'!$A$1:$R$7,6)</f>
        <v>Regional</v>
      </c>
      <c r="K93">
        <f t="shared" ca="1" si="16"/>
        <v>3</v>
      </c>
      <c r="L93" t="str">
        <f ca="1">VLOOKUP('Master Sheet'!I93,'Code Options'!$A$1:$R$7,7)</f>
        <v>Aggregation</v>
      </c>
      <c r="M93">
        <f t="shared" ca="1" si="17"/>
        <v>3</v>
      </c>
      <c r="N93" t="str">
        <f ca="1">VLOOKUP('Master Sheet'!K93,'Code Options'!$A$1:$R$7,8)</f>
        <v>Rec.Fish.Mngmt</v>
      </c>
      <c r="O93">
        <f t="shared" ca="1" si="18"/>
        <v>4</v>
      </c>
      <c r="P93" t="str">
        <f ca="1">VLOOKUP('Master Sheet'!E93,'Code Options'!$A$1:$R$7,9)</f>
        <v>Fed_Code</v>
      </c>
      <c r="Q93" cm="1">
        <f t="array" aca="1" ref="Q93" ca="1">_xlfn.IFS(P93 ="State_Plan", RANDBETWEEN(1,23), P93 ="State_Code", RANDBETWEEN(1,23), P93 = "Fed_Code", 99, P93 = "Summ_Article", 999, P93 = "Guide", 999)</f>
        <v>99</v>
      </c>
      <c r="R93" t="str">
        <f ca="1">VLOOKUP(Q93,'States and Locations'!$A$1:$B$26,2)</f>
        <v>National</v>
      </c>
      <c r="S93">
        <f ca="1">VLOOKUP(Q93,'States and Locations'!$A$1:$D$26,3)</f>
        <v>39.833300000000001</v>
      </c>
      <c r="T93">
        <f ca="1">VLOOKUP(Q93,'States and Locations'!$A$1:$D$26,4)</f>
        <v>-98.583299999999994</v>
      </c>
      <c r="U93">
        <f t="shared" ca="1" si="19"/>
        <v>3</v>
      </c>
      <c r="V93" t="str">
        <f ca="1">VLOOKUP('Master Sheet'!E93,'Code Options'!$A$1:$R$7,10)</f>
        <v>Disposal</v>
      </c>
      <c r="W93">
        <f t="shared" ca="1" si="20"/>
        <v>4</v>
      </c>
      <c r="X93" t="str">
        <f ca="1">VLOOKUP('Master Sheet'!E93,'Code Options'!$A$1:$R$7,11)</f>
        <v>Comm_Fish</v>
      </c>
      <c r="Y93">
        <f t="shared" ca="1" si="21"/>
        <v>5</v>
      </c>
      <c r="Z93" t="str">
        <f ca="1">VLOOKUP('Master Sheet'!E93,'Code Options'!$A$1:$R$7,12)</f>
        <v>AS_constructors</v>
      </c>
    </row>
    <row r="94" spans="1:26" x14ac:dyDescent="0.2">
      <c r="A94">
        <f t="shared" ca="1" si="11"/>
        <v>2</v>
      </c>
      <c r="B94" t="str">
        <f ca="1">VLOOKUP('Master Sheet'!A94,'Code Options'!$A$1:$B$7,2)</f>
        <v>Concrete</v>
      </c>
      <c r="C94">
        <f t="shared" ca="1" si="12"/>
        <v>3</v>
      </c>
      <c r="D94" t="str">
        <f ca="1">VLOOKUP('Master Sheet'!C94,'Code Options'!$A$1:$R$7,3)</f>
        <v>Unsure</v>
      </c>
      <c r="E94">
        <f t="shared" ca="1" si="13"/>
        <v>4</v>
      </c>
      <c r="F94" t="str">
        <f ca="1">VLOOKUP('Master Sheet'!E94,'Code Options'!$A$1:$R$7,4)</f>
        <v>LM</v>
      </c>
      <c r="G94">
        <f t="shared" ca="1" si="14"/>
        <v>3</v>
      </c>
      <c r="H94">
        <f ca="1">VLOOKUP('Master Sheet'!E94,'Code Options'!$A$1:$R$7,5)</f>
        <v>0</v>
      </c>
      <c r="I94">
        <f t="shared" ca="1" si="15"/>
        <v>2</v>
      </c>
      <c r="J94" t="str">
        <f ca="1">VLOOKUP('Master Sheet'!G94,'Code Options'!$A$1:$R$7,6)</f>
        <v>Regional</v>
      </c>
      <c r="K94">
        <f t="shared" ca="1" si="16"/>
        <v>3</v>
      </c>
      <c r="L94" t="str">
        <f ca="1">VLOOKUP('Master Sheet'!I94,'Code Options'!$A$1:$R$7,7)</f>
        <v>Production</v>
      </c>
      <c r="M94">
        <f t="shared" ca="1" si="17"/>
        <v>4</v>
      </c>
      <c r="N94" t="str">
        <f ca="1">VLOOKUP('Master Sheet'!K94,'Code Options'!$A$1:$R$7,8)</f>
        <v>Rec.Fish.Mngmt</v>
      </c>
      <c r="O94">
        <f t="shared" ca="1" si="18"/>
        <v>2</v>
      </c>
      <c r="P94" t="str">
        <f ca="1">VLOOKUP('Master Sheet'!E94,'Code Options'!$A$1:$R$7,9)</f>
        <v>Summ_Article</v>
      </c>
      <c r="Q94" cm="1">
        <f t="array" aca="1" ref="Q94" ca="1">_xlfn.IFS(P94 ="State_Plan", RANDBETWEEN(1,23), P94 ="State_Code", RANDBETWEEN(1,23), P94 = "Fed_Code", 99, P94 = "Summ_Article", 999, P94 = "Guide", 999)</f>
        <v>999</v>
      </c>
      <c r="R94" t="str">
        <f ca="1">VLOOKUP(Q94,'States and Locations'!$A$1:$B$26,2)</f>
        <v>UNK</v>
      </c>
      <c r="S94">
        <f ca="1">VLOOKUP(Q94,'States and Locations'!$A$1:$D$26,3)</f>
        <v>25</v>
      </c>
      <c r="T94">
        <f ca="1">VLOOKUP(Q94,'States and Locations'!$A$1:$D$26,4)</f>
        <v>-90</v>
      </c>
      <c r="U94">
        <f t="shared" ca="1" si="19"/>
        <v>5</v>
      </c>
      <c r="V94" t="str">
        <f ca="1">VLOOKUP('Master Sheet'!E94,'Code Options'!$A$1:$R$7,10)</f>
        <v>Hab_restoration</v>
      </c>
      <c r="W94">
        <f t="shared" ca="1" si="20"/>
        <v>2</v>
      </c>
      <c r="X94" t="str">
        <f ca="1">VLOOKUP('Master Sheet'!E94,'Code Options'!$A$1:$R$7,11)</f>
        <v>Non-Fish_rec</v>
      </c>
      <c r="Y94">
        <f t="shared" ca="1" si="21"/>
        <v>2</v>
      </c>
      <c r="Z94" t="str">
        <f ca="1">VLOOKUP('Master Sheet'!E94,'Code Options'!$A$1:$R$7,12)</f>
        <v>people_interested</v>
      </c>
    </row>
    <row r="95" spans="1:26" x14ac:dyDescent="0.2">
      <c r="A95">
        <f t="shared" ca="1" si="11"/>
        <v>1</v>
      </c>
      <c r="B95" t="str">
        <f ca="1">VLOOKUP('Master Sheet'!A95,'Code Options'!$A$1:$B$7,2)</f>
        <v>Composite</v>
      </c>
      <c r="C95">
        <f t="shared" ca="1" si="12"/>
        <v>1</v>
      </c>
      <c r="D95" t="str">
        <f ca="1">VLOOKUP('Master Sheet'!C95,'Code Options'!$A$1:$R$7,3)</f>
        <v>Retro</v>
      </c>
      <c r="E95">
        <f t="shared" ca="1" si="13"/>
        <v>5</v>
      </c>
      <c r="F95" t="str">
        <f ca="1">VLOOKUP('Master Sheet'!E95,'Code Options'!$A$1:$R$7,4)</f>
        <v>Nick</v>
      </c>
      <c r="G95">
        <f t="shared" ca="1" si="14"/>
        <v>1</v>
      </c>
      <c r="H95">
        <f ca="1">VLOOKUP('Master Sheet'!E95,'Code Options'!$A$1:$R$7,5)</f>
        <v>0</v>
      </c>
      <c r="I95">
        <f t="shared" ca="1" si="15"/>
        <v>2</v>
      </c>
      <c r="J95" t="str">
        <f ca="1">VLOOKUP('Master Sheet'!G95,'Code Options'!$A$1:$R$7,6)</f>
        <v>County/Local</v>
      </c>
      <c r="K95">
        <f t="shared" ca="1" si="16"/>
        <v>1</v>
      </c>
      <c r="L95" t="str">
        <f ca="1">VLOOKUP('Master Sheet'!I95,'Code Options'!$A$1:$R$7,7)</f>
        <v>Production</v>
      </c>
      <c r="M95">
        <f t="shared" ca="1" si="17"/>
        <v>5</v>
      </c>
      <c r="N95" t="str">
        <f ca="1">VLOOKUP('Master Sheet'!K95,'Code Options'!$A$1:$R$7,8)</f>
        <v>Fish.Enhancement</v>
      </c>
      <c r="O95">
        <f t="shared" ca="1" si="18"/>
        <v>4</v>
      </c>
      <c r="P95" t="str">
        <f ca="1">VLOOKUP('Master Sheet'!E95,'Code Options'!$A$1:$R$7,9)</f>
        <v>Guide</v>
      </c>
      <c r="Q95" cm="1">
        <f t="array" aca="1" ref="Q95" ca="1">_xlfn.IFS(P95 ="State_Plan", RANDBETWEEN(1,23), P95 ="State_Code", RANDBETWEEN(1,23), P95 = "Fed_Code", 99, P95 = "Summ_Article", 999, P95 = "Guide", 999)</f>
        <v>999</v>
      </c>
      <c r="R95" t="str">
        <f ca="1">VLOOKUP(Q95,'States and Locations'!$A$1:$B$26,2)</f>
        <v>UNK</v>
      </c>
      <c r="S95">
        <f ca="1">VLOOKUP(Q95,'States and Locations'!$A$1:$D$26,3)</f>
        <v>25</v>
      </c>
      <c r="T95">
        <f ca="1">VLOOKUP(Q95,'States and Locations'!$A$1:$D$26,4)</f>
        <v>-90</v>
      </c>
      <c r="U95">
        <f t="shared" ca="1" si="19"/>
        <v>4</v>
      </c>
      <c r="V95" t="str">
        <f ca="1">VLOOKUP('Master Sheet'!E95,'Code Options'!$A$1:$R$7,10)</f>
        <v>Wave_attenuation</v>
      </c>
      <c r="W95">
        <f t="shared" ca="1" si="20"/>
        <v>4</v>
      </c>
      <c r="X95" t="str">
        <f ca="1">VLOOKUP('Master Sheet'!E95,'Code Options'!$A$1:$R$7,11)</f>
        <v>Scuba</v>
      </c>
      <c r="Y95">
        <f t="shared" ca="1" si="21"/>
        <v>2</v>
      </c>
      <c r="Z95" t="str">
        <f ca="1">VLOOKUP('Master Sheet'!E95,'Code Options'!$A$1:$R$7,12)</f>
        <v>anglers</v>
      </c>
    </row>
    <row r="96" spans="1:26" x14ac:dyDescent="0.2">
      <c r="A96">
        <f t="shared" ca="1" si="11"/>
        <v>4</v>
      </c>
      <c r="B96" t="str">
        <f ca="1">VLOOKUP('Master Sheet'!A96,'Code Options'!$A$1:$B$7,2)</f>
        <v>Other</v>
      </c>
      <c r="C96">
        <f t="shared" ca="1" si="12"/>
        <v>2</v>
      </c>
      <c r="D96" t="str">
        <f ca="1">VLOOKUP('Master Sheet'!C96,'Code Options'!$A$1:$R$7,3)</f>
        <v>Pro</v>
      </c>
      <c r="E96">
        <f t="shared" ca="1" si="13"/>
        <v>3</v>
      </c>
      <c r="F96" t="str">
        <f ca="1">VLOOKUP('Master Sheet'!E96,'Code Options'!$A$1:$R$7,4)</f>
        <v>Jon</v>
      </c>
      <c r="G96">
        <f t="shared" ca="1" si="14"/>
        <v>1</v>
      </c>
      <c r="H96" t="str">
        <f ca="1">VLOOKUP('Master Sheet'!E96,'Code Options'!$A$1:$R$7,5)</f>
        <v>Nick</v>
      </c>
      <c r="I96">
        <f t="shared" ca="1" si="15"/>
        <v>3</v>
      </c>
      <c r="J96" t="str">
        <f ca="1">VLOOKUP('Master Sheet'!G96,'Code Options'!$A$1:$R$7,6)</f>
        <v>County/Local</v>
      </c>
      <c r="K96">
        <f t="shared" ca="1" si="16"/>
        <v>3</v>
      </c>
      <c r="L96" t="str">
        <f ca="1">VLOOKUP('Master Sheet'!I96,'Code Options'!$A$1:$R$7,7)</f>
        <v>Aggregation</v>
      </c>
      <c r="M96">
        <f t="shared" ca="1" si="17"/>
        <v>1</v>
      </c>
      <c r="N96" t="str">
        <f ca="1">VLOOKUP('Master Sheet'!K96,'Code Options'!$A$1:$R$7,8)</f>
        <v>Rec.Fish.Mngmt</v>
      </c>
      <c r="O96">
        <f t="shared" ca="1" si="18"/>
        <v>3</v>
      </c>
      <c r="P96" t="str">
        <f ca="1">VLOOKUP('Master Sheet'!E96,'Code Options'!$A$1:$R$7,9)</f>
        <v>State_Plan</v>
      </c>
      <c r="Q96" cm="1">
        <f t="array" aca="1" ref="Q96" ca="1">_xlfn.IFS(P96 ="State_Plan", RANDBETWEEN(1,23), P96 ="State_Code", RANDBETWEEN(1,23), P96 = "Fed_Code", 99, P96 = "Summ_Article", 999, P96 = "Guide", 999)</f>
        <v>1</v>
      </c>
      <c r="R96" t="str">
        <f ca="1">VLOOKUP(Q96,'States and Locations'!$A$1:$B$26,2)</f>
        <v>Maine</v>
      </c>
      <c r="S96">
        <f ca="1">VLOOKUP(Q96,'States and Locations'!$A$1:$D$26,3)</f>
        <v>45.366700000000002</v>
      </c>
      <c r="T96">
        <f ca="1">VLOOKUP(Q96,'States and Locations'!$A$1:$D$26,4)</f>
        <v>-69.2333</v>
      </c>
      <c r="U96">
        <f t="shared" ca="1" si="19"/>
        <v>1</v>
      </c>
      <c r="V96" t="str">
        <f ca="1">VLOOKUP('Master Sheet'!E96,'Code Options'!$A$1:$R$7,10)</f>
        <v>Mitig.</v>
      </c>
      <c r="W96">
        <f t="shared" ca="1" si="20"/>
        <v>3</v>
      </c>
      <c r="X96" t="str">
        <f ca="1">VLOOKUP('Master Sheet'!E96,'Code Options'!$A$1:$R$7,11)</f>
        <v>Chart_Fish</v>
      </c>
      <c r="Y96">
        <f t="shared" ca="1" si="21"/>
        <v>4</v>
      </c>
      <c r="Z96" t="str">
        <f ca="1">VLOOKUP('Master Sheet'!E96,'Code Options'!$A$1:$R$7,12)</f>
        <v>Permit_reg_agencies</v>
      </c>
    </row>
    <row r="97" spans="1:26" x14ac:dyDescent="0.2">
      <c r="A97">
        <f t="shared" ca="1" si="11"/>
        <v>2</v>
      </c>
      <c r="B97" t="str">
        <f ca="1">VLOOKUP('Master Sheet'!A97,'Code Options'!$A$1:$B$7,2)</f>
        <v>Concrete</v>
      </c>
      <c r="C97">
        <f t="shared" ca="1" si="12"/>
        <v>2</v>
      </c>
      <c r="D97" t="str">
        <f ca="1">VLOOKUP('Master Sheet'!C97,'Code Options'!$A$1:$R$7,3)</f>
        <v>Pro</v>
      </c>
      <c r="E97">
        <f t="shared" ca="1" si="13"/>
        <v>1</v>
      </c>
      <c r="F97" t="str">
        <f ca="1">VLOOKUP('Master Sheet'!E97,'Code Options'!$A$1:$R$7,4)</f>
        <v>Will</v>
      </c>
      <c r="G97">
        <f t="shared" ca="1" si="14"/>
        <v>3</v>
      </c>
      <c r="H97" t="str">
        <f ca="1">VLOOKUP('Master Sheet'!E97,'Code Options'!$A$1:$R$7,5)</f>
        <v>Will</v>
      </c>
      <c r="I97">
        <f t="shared" ca="1" si="15"/>
        <v>3</v>
      </c>
      <c r="J97" t="str">
        <f ca="1">VLOOKUP('Master Sheet'!G97,'Code Options'!$A$1:$R$7,6)</f>
        <v>Regional</v>
      </c>
      <c r="K97">
        <f t="shared" ca="1" si="16"/>
        <v>4</v>
      </c>
      <c r="L97" t="str">
        <f ca="1">VLOOKUP('Master Sheet'!I97,'Code Options'!$A$1:$R$7,7)</f>
        <v>Aggregation</v>
      </c>
      <c r="M97">
        <f t="shared" ca="1" si="17"/>
        <v>2</v>
      </c>
      <c r="N97" t="str">
        <f ca="1">VLOOKUP('Master Sheet'!K97,'Code Options'!$A$1:$R$7,8)</f>
        <v>Creation of AR Mat</v>
      </c>
      <c r="O97">
        <f t="shared" ca="1" si="18"/>
        <v>2</v>
      </c>
      <c r="P97" t="str">
        <f ca="1">VLOOKUP('Master Sheet'!E97,'Code Options'!$A$1:$R$7,9)</f>
        <v>State_Code</v>
      </c>
      <c r="Q97" cm="1">
        <f t="array" aca="1" ref="Q97" ca="1">_xlfn.IFS(P97 ="State_Plan", RANDBETWEEN(1,23), P97 ="State_Code", RANDBETWEEN(1,23), P97 = "Fed_Code", 99, P97 = "Summ_Article", 999, P97 = "Guide", 999)</f>
        <v>6</v>
      </c>
      <c r="R97" t="str">
        <f ca="1">VLOOKUP(Q97,'States and Locations'!$A$1:$B$26,2)</f>
        <v>New York</v>
      </c>
      <c r="S97">
        <f ca="1">VLOOKUP(Q97,'States and Locations'!$A$1:$D$26,3)</f>
        <v>42.966700000000003</v>
      </c>
      <c r="T97">
        <f ca="1">VLOOKUP(Q97,'States and Locations'!$A$1:$D$26,4)</f>
        <v>-75.5167</v>
      </c>
      <c r="U97">
        <f t="shared" ca="1" si="19"/>
        <v>3</v>
      </c>
      <c r="V97" t="str">
        <f ca="1">VLOOKUP('Master Sheet'!E97,'Code Options'!$A$1:$R$7,10)</f>
        <v>Hab_enhancement</v>
      </c>
      <c r="W97">
        <f t="shared" ca="1" si="20"/>
        <v>4</v>
      </c>
      <c r="X97" t="str">
        <f ca="1">VLOOKUP('Master Sheet'!E97,'Code Options'!$A$1:$R$7,11)</f>
        <v>Rec_Fish</v>
      </c>
      <c r="Y97">
        <f t="shared" ca="1" si="21"/>
        <v>5</v>
      </c>
      <c r="Z97" t="str">
        <f ca="1">VLOOKUP('Master Sheet'!E97,'Code Options'!$A$1:$R$7,12)</f>
        <v>AR_proj_plan_mngrs</v>
      </c>
    </row>
    <row r="98" spans="1:26" x14ac:dyDescent="0.2">
      <c r="A98">
        <f t="shared" ca="1" si="11"/>
        <v>5</v>
      </c>
      <c r="B98" t="str">
        <f ca="1">VLOOKUP('Master Sheet'!A98,'Code Options'!$A$1:$B$7,2)</f>
        <v>Rock</v>
      </c>
      <c r="C98">
        <f t="shared" ca="1" si="12"/>
        <v>1</v>
      </c>
      <c r="D98" t="str">
        <f ca="1">VLOOKUP('Master Sheet'!C98,'Code Options'!$A$1:$R$7,3)</f>
        <v>Retro</v>
      </c>
      <c r="E98">
        <f t="shared" ca="1" si="13"/>
        <v>1</v>
      </c>
      <c r="F98" t="str">
        <f ca="1">VLOOKUP('Master Sheet'!E98,'Code Options'!$A$1:$R$7,4)</f>
        <v>Will</v>
      </c>
      <c r="G98">
        <f t="shared" ca="1" si="14"/>
        <v>1</v>
      </c>
      <c r="H98" t="str">
        <f ca="1">VLOOKUP('Master Sheet'!E98,'Code Options'!$A$1:$R$7,5)</f>
        <v>Will</v>
      </c>
      <c r="I98">
        <f t="shared" ca="1" si="15"/>
        <v>1</v>
      </c>
      <c r="J98" t="str">
        <f ca="1">VLOOKUP('Master Sheet'!G98,'Code Options'!$A$1:$R$7,6)</f>
        <v>County/Local</v>
      </c>
      <c r="K98">
        <f t="shared" ca="1" si="16"/>
        <v>4</v>
      </c>
      <c r="L98" t="str">
        <f ca="1">VLOOKUP('Master Sheet'!I98,'Code Options'!$A$1:$R$7,7)</f>
        <v>Habitat</v>
      </c>
      <c r="M98">
        <f t="shared" ca="1" si="17"/>
        <v>3</v>
      </c>
      <c r="N98" t="str">
        <f ca="1">VLOOKUP('Master Sheet'!K98,'Code Options'!$A$1:$R$7,8)</f>
        <v>Creation of AR Mat</v>
      </c>
      <c r="O98">
        <f t="shared" ca="1" si="18"/>
        <v>4</v>
      </c>
      <c r="P98" t="str">
        <f ca="1">VLOOKUP('Master Sheet'!E98,'Code Options'!$A$1:$R$7,9)</f>
        <v>State_Code</v>
      </c>
      <c r="Q98" cm="1">
        <f t="array" aca="1" ref="Q98" ca="1">_xlfn.IFS(P98 ="State_Plan", RANDBETWEEN(1,23), P98 ="State_Code", RANDBETWEEN(1,23), P98 = "Fed_Code", 99, P98 = "Summ_Article", 999, P98 = "Guide", 999)</f>
        <v>11</v>
      </c>
      <c r="R98" t="str">
        <f ca="1">VLOOKUP(Q98,'States and Locations'!$A$1:$B$26,2)</f>
        <v>North Carolina</v>
      </c>
      <c r="S98">
        <f ca="1">VLOOKUP(Q98,'States and Locations'!$A$1:$D$26,3)</f>
        <v>35.783299999999997</v>
      </c>
      <c r="T98">
        <f ca="1">VLOOKUP(Q98,'States and Locations'!$A$1:$D$26,4)</f>
        <v>-79.816699999999997</v>
      </c>
      <c r="U98">
        <f t="shared" ca="1" si="19"/>
        <v>4</v>
      </c>
      <c r="V98" t="str">
        <f ca="1">VLOOKUP('Master Sheet'!E98,'Code Options'!$A$1:$R$7,10)</f>
        <v>Hab_enhancement</v>
      </c>
      <c r="W98">
        <f t="shared" ca="1" si="20"/>
        <v>3</v>
      </c>
      <c r="X98" t="str">
        <f ca="1">VLOOKUP('Master Sheet'!E98,'Code Options'!$A$1:$R$7,11)</f>
        <v>Rec_Fish</v>
      </c>
      <c r="Y98">
        <f t="shared" ca="1" si="21"/>
        <v>2</v>
      </c>
      <c r="Z98" t="str">
        <f ca="1">VLOOKUP('Master Sheet'!E98,'Code Options'!$A$1:$R$7,12)</f>
        <v>AR_proj_plan_mngrs</v>
      </c>
    </row>
    <row r="99" spans="1:26" x14ac:dyDescent="0.2">
      <c r="A99">
        <f t="shared" ca="1" si="11"/>
        <v>5</v>
      </c>
      <c r="B99" t="str">
        <f ca="1">VLOOKUP('Master Sheet'!A99,'Code Options'!$A$1:$B$7,2)</f>
        <v>Rock</v>
      </c>
      <c r="C99">
        <f t="shared" ca="1" si="12"/>
        <v>1</v>
      </c>
      <c r="D99" t="str">
        <f ca="1">VLOOKUP('Master Sheet'!C99,'Code Options'!$A$1:$R$7,3)</f>
        <v>Retro</v>
      </c>
      <c r="E99">
        <f t="shared" ca="1" si="13"/>
        <v>3</v>
      </c>
      <c r="F99" t="str">
        <f ca="1">VLOOKUP('Master Sheet'!E99,'Code Options'!$A$1:$R$7,4)</f>
        <v>Jon</v>
      </c>
      <c r="G99">
        <f t="shared" ca="1" si="14"/>
        <v>3</v>
      </c>
      <c r="H99" t="str">
        <f ca="1">VLOOKUP('Master Sheet'!E99,'Code Options'!$A$1:$R$7,5)</f>
        <v>Nick</v>
      </c>
      <c r="I99">
        <f t="shared" ca="1" si="15"/>
        <v>1</v>
      </c>
      <c r="J99" t="str">
        <f ca="1">VLOOKUP('Master Sheet'!G99,'Code Options'!$A$1:$R$7,6)</f>
        <v>Regional</v>
      </c>
      <c r="K99">
        <f t="shared" ca="1" si="16"/>
        <v>1</v>
      </c>
      <c r="L99" t="str">
        <f ca="1">VLOOKUP('Master Sheet'!I99,'Code Options'!$A$1:$R$7,7)</f>
        <v>Habitat</v>
      </c>
      <c r="M99">
        <f t="shared" ca="1" si="17"/>
        <v>5</v>
      </c>
      <c r="N99" t="str">
        <f ca="1">VLOOKUP('Master Sheet'!K99,'Code Options'!$A$1:$R$7,8)</f>
        <v>Fish.Enhancement</v>
      </c>
      <c r="O99">
        <f t="shared" ca="1" si="18"/>
        <v>2</v>
      </c>
      <c r="P99" t="str">
        <f ca="1">VLOOKUP('Master Sheet'!E99,'Code Options'!$A$1:$R$7,9)</f>
        <v>State_Plan</v>
      </c>
      <c r="Q99" cm="1">
        <f t="array" aca="1" ref="Q99" ca="1">_xlfn.IFS(P99 ="State_Plan", RANDBETWEEN(1,23), P99 ="State_Code", RANDBETWEEN(1,23), P99 = "Fed_Code", 99, P99 = "Summ_Article", 999, P99 = "Guide", 999)</f>
        <v>2</v>
      </c>
      <c r="R99" t="str">
        <f ca="1">VLOOKUP(Q99,'States and Locations'!$A$1:$B$26,2)</f>
        <v>New Hampshire</v>
      </c>
      <c r="S99">
        <f ca="1">VLOOKUP(Q99,'States and Locations'!$A$1:$D$26,3)</f>
        <v>43.683300000000003</v>
      </c>
      <c r="T99">
        <f ca="1">VLOOKUP(Q99,'States and Locations'!$A$1:$D$26,4)</f>
        <v>-71.583299999999994</v>
      </c>
      <c r="U99">
        <f t="shared" ca="1" si="19"/>
        <v>5</v>
      </c>
      <c r="V99" t="str">
        <f ca="1">VLOOKUP('Master Sheet'!E99,'Code Options'!$A$1:$R$7,10)</f>
        <v>Mitig.</v>
      </c>
      <c r="W99">
        <f t="shared" ca="1" si="20"/>
        <v>5</v>
      </c>
      <c r="X99" t="str">
        <f ca="1">VLOOKUP('Master Sheet'!E99,'Code Options'!$A$1:$R$7,11)</f>
        <v>Chart_Fish</v>
      </c>
      <c r="Y99">
        <f t="shared" ca="1" si="21"/>
        <v>5</v>
      </c>
      <c r="Z99" t="str">
        <f ca="1">VLOOKUP('Master Sheet'!E99,'Code Options'!$A$1:$R$7,12)</f>
        <v>Permit_reg_agencies</v>
      </c>
    </row>
    <row r="100" spans="1:26" x14ac:dyDescent="0.2">
      <c r="A100">
        <f t="shared" ca="1" si="11"/>
        <v>4</v>
      </c>
      <c r="B100" t="str">
        <f ca="1">VLOOKUP('Master Sheet'!A100,'Code Options'!$A$1:$B$7,2)</f>
        <v>Other</v>
      </c>
      <c r="C100">
        <f t="shared" ca="1" si="12"/>
        <v>3</v>
      </c>
      <c r="D100" t="str">
        <f ca="1">VLOOKUP('Master Sheet'!C100,'Code Options'!$A$1:$R$7,3)</f>
        <v>Unsure</v>
      </c>
      <c r="E100">
        <f t="shared" ca="1" si="13"/>
        <v>5</v>
      </c>
      <c r="F100" t="str">
        <f ca="1">VLOOKUP('Master Sheet'!E100,'Code Options'!$A$1:$R$7,4)</f>
        <v>Nick</v>
      </c>
      <c r="G100">
        <f t="shared" ca="1" si="14"/>
        <v>1</v>
      </c>
      <c r="H100">
        <f ca="1">VLOOKUP('Master Sheet'!E100,'Code Options'!$A$1:$R$7,5)</f>
        <v>0</v>
      </c>
      <c r="I100">
        <f t="shared" ca="1" si="15"/>
        <v>4</v>
      </c>
      <c r="J100" t="str">
        <f ca="1">VLOOKUP('Master Sheet'!G100,'Code Options'!$A$1:$R$7,6)</f>
        <v>County/Local</v>
      </c>
      <c r="K100">
        <f t="shared" ca="1" si="16"/>
        <v>3</v>
      </c>
      <c r="L100" t="str">
        <f ca="1">VLOOKUP('Master Sheet'!I100,'Code Options'!$A$1:$R$7,7)</f>
        <v>Biodiversity</v>
      </c>
      <c r="M100">
        <f t="shared" ca="1" si="17"/>
        <v>2</v>
      </c>
      <c r="N100" t="str">
        <f ca="1">VLOOKUP('Master Sheet'!K100,'Code Options'!$A$1:$R$7,8)</f>
        <v>Rec.Fish.Mngmt</v>
      </c>
      <c r="O100">
        <f t="shared" ca="1" si="18"/>
        <v>4</v>
      </c>
      <c r="P100" t="str">
        <f ca="1">VLOOKUP('Master Sheet'!E100,'Code Options'!$A$1:$R$7,9)</f>
        <v>Guide</v>
      </c>
      <c r="Q100" cm="1">
        <f t="array" aca="1" ref="Q100" ca="1">_xlfn.IFS(P100 ="State_Plan", RANDBETWEEN(1,23), P100 ="State_Code", RANDBETWEEN(1,23), P100 = "Fed_Code", 99, P100 = "Summ_Article", 999, P100 = "Guide", 999)</f>
        <v>999</v>
      </c>
      <c r="R100" t="str">
        <f ca="1">VLOOKUP(Q100,'States and Locations'!$A$1:$B$26,2)</f>
        <v>UNK</v>
      </c>
      <c r="S100">
        <f ca="1">VLOOKUP(Q100,'States and Locations'!$A$1:$D$26,3)</f>
        <v>25</v>
      </c>
      <c r="T100">
        <f ca="1">VLOOKUP(Q100,'States and Locations'!$A$1:$D$26,4)</f>
        <v>-90</v>
      </c>
      <c r="U100">
        <f t="shared" ca="1" si="19"/>
        <v>4</v>
      </c>
      <c r="V100" t="str">
        <f ca="1">VLOOKUP('Master Sheet'!E100,'Code Options'!$A$1:$R$7,10)</f>
        <v>Wave_attenuation</v>
      </c>
      <c r="W100">
        <f t="shared" ca="1" si="20"/>
        <v>3</v>
      </c>
      <c r="X100" t="str">
        <f ca="1">VLOOKUP('Master Sheet'!E100,'Code Options'!$A$1:$R$7,11)</f>
        <v>Scuba</v>
      </c>
      <c r="Y100">
        <f t="shared" ca="1" si="21"/>
        <v>3</v>
      </c>
      <c r="Z100" t="str">
        <f ca="1">VLOOKUP('Master Sheet'!E100,'Code Options'!$A$1:$R$7,12)</f>
        <v>anglers</v>
      </c>
    </row>
    <row r="101" spans="1:26" x14ac:dyDescent="0.2">
      <c r="A101">
        <f t="shared" ca="1" si="11"/>
        <v>3</v>
      </c>
      <c r="B101" t="str">
        <f ca="1">VLOOKUP('Master Sheet'!A101,'Code Options'!$A$1:$B$7,2)</f>
        <v>Metal</v>
      </c>
      <c r="C101">
        <f t="shared" ca="1" si="12"/>
        <v>3</v>
      </c>
      <c r="D101" t="str">
        <f ca="1">VLOOKUP('Master Sheet'!C101,'Code Options'!$A$1:$R$7,3)</f>
        <v>Unsure</v>
      </c>
      <c r="E101">
        <f t="shared" ca="1" si="13"/>
        <v>5</v>
      </c>
      <c r="F101" t="str">
        <f ca="1">VLOOKUP('Master Sheet'!E101,'Code Options'!$A$1:$R$7,4)</f>
        <v>Nick</v>
      </c>
      <c r="G101">
        <f t="shared" ca="1" si="14"/>
        <v>3</v>
      </c>
      <c r="H101">
        <f ca="1">VLOOKUP('Master Sheet'!E101,'Code Options'!$A$1:$R$7,5)</f>
        <v>0</v>
      </c>
      <c r="I101">
        <f t="shared" ca="1" si="15"/>
        <v>1</v>
      </c>
      <c r="J101" t="str">
        <f ca="1">VLOOKUP('Master Sheet'!G101,'Code Options'!$A$1:$R$7,6)</f>
        <v>Regional</v>
      </c>
      <c r="K101">
        <f t="shared" ca="1" si="16"/>
        <v>4</v>
      </c>
      <c r="L101" t="str">
        <f ca="1">VLOOKUP('Master Sheet'!I101,'Code Options'!$A$1:$R$7,7)</f>
        <v>Habitat</v>
      </c>
      <c r="M101">
        <f t="shared" ca="1" si="17"/>
        <v>4</v>
      </c>
      <c r="N101" t="str">
        <f ca="1">VLOOKUP('Master Sheet'!K101,'Code Options'!$A$1:$R$7,8)</f>
        <v>Creation of AR Mat</v>
      </c>
      <c r="O101">
        <f t="shared" ca="1" si="18"/>
        <v>4</v>
      </c>
      <c r="P101" t="str">
        <f ca="1">VLOOKUP('Master Sheet'!E101,'Code Options'!$A$1:$R$7,9)</f>
        <v>Guide</v>
      </c>
      <c r="Q101" cm="1">
        <f t="array" aca="1" ref="Q101" ca="1">_xlfn.IFS(P101 ="State_Plan", RANDBETWEEN(1,23), P101 ="State_Code", RANDBETWEEN(1,23), P101 = "Fed_Code", 99, P101 = "Summ_Article", 999, P101 = "Guide", 999)</f>
        <v>999</v>
      </c>
      <c r="R101" t="str">
        <f ca="1">VLOOKUP(Q101,'States and Locations'!$A$1:$B$26,2)</f>
        <v>UNK</v>
      </c>
      <c r="S101">
        <f ca="1">VLOOKUP(Q101,'States and Locations'!$A$1:$D$26,3)</f>
        <v>25</v>
      </c>
      <c r="T101">
        <f ca="1">VLOOKUP(Q101,'States and Locations'!$A$1:$D$26,4)</f>
        <v>-90</v>
      </c>
      <c r="U101">
        <f t="shared" ca="1" si="19"/>
        <v>1</v>
      </c>
      <c r="V101" t="str">
        <f ca="1">VLOOKUP('Master Sheet'!E101,'Code Options'!$A$1:$R$7,10)</f>
        <v>Wave_attenuation</v>
      </c>
      <c r="W101">
        <f t="shared" ca="1" si="20"/>
        <v>4</v>
      </c>
      <c r="X101" t="str">
        <f ca="1">VLOOKUP('Master Sheet'!E101,'Code Options'!$A$1:$R$7,11)</f>
        <v>Scuba</v>
      </c>
      <c r="Y101">
        <f t="shared" ca="1" si="21"/>
        <v>4</v>
      </c>
      <c r="Z101" t="str">
        <f ca="1">VLOOKUP('Master Sheet'!E101,'Code Options'!$A$1:$R$7,12)</f>
        <v>anglers</v>
      </c>
    </row>
    <row r="102" spans="1:26" x14ac:dyDescent="0.2">
      <c r="A102">
        <f t="shared" ca="1" si="11"/>
        <v>5</v>
      </c>
      <c r="B102" t="str">
        <f ca="1">VLOOKUP('Master Sheet'!A102,'Code Options'!$A$1:$B$7,2)</f>
        <v>Rock</v>
      </c>
      <c r="C102">
        <f t="shared" ca="1" si="12"/>
        <v>3</v>
      </c>
      <c r="D102" t="str">
        <f ca="1">VLOOKUP('Master Sheet'!C102,'Code Options'!$A$1:$R$7,3)</f>
        <v>Unsure</v>
      </c>
      <c r="E102">
        <f t="shared" ca="1" si="13"/>
        <v>2</v>
      </c>
      <c r="F102" t="str">
        <f ca="1">VLOOKUP('Master Sheet'!E102,'Code Options'!$A$1:$R$7,4)</f>
        <v>Cyndi</v>
      </c>
      <c r="G102">
        <f t="shared" ca="1" si="14"/>
        <v>1</v>
      </c>
      <c r="H102" t="str">
        <f ca="1">VLOOKUP('Master Sheet'!E102,'Code Options'!$A$1:$R$7,5)</f>
        <v>Cyndi</v>
      </c>
      <c r="I102">
        <f t="shared" ca="1" si="15"/>
        <v>2</v>
      </c>
      <c r="J102" t="str">
        <f ca="1">VLOOKUP('Master Sheet'!G102,'Code Options'!$A$1:$R$7,6)</f>
        <v>County/Local</v>
      </c>
      <c r="K102">
        <f t="shared" ca="1" si="16"/>
        <v>4</v>
      </c>
      <c r="L102" t="str">
        <f ca="1">VLOOKUP('Master Sheet'!I102,'Code Options'!$A$1:$R$7,7)</f>
        <v>Production</v>
      </c>
      <c r="M102">
        <f t="shared" ca="1" si="17"/>
        <v>3</v>
      </c>
      <c r="N102" t="str">
        <f ca="1">VLOOKUP('Master Sheet'!K102,'Code Options'!$A$1:$R$7,8)</f>
        <v>Creation of AR Mat</v>
      </c>
      <c r="O102">
        <f t="shared" ca="1" si="18"/>
        <v>2</v>
      </c>
      <c r="P102" t="str">
        <f ca="1">VLOOKUP('Master Sheet'!E102,'Code Options'!$A$1:$R$7,9)</f>
        <v>Fed_Code</v>
      </c>
      <c r="Q102" cm="1">
        <f t="array" aca="1" ref="Q102" ca="1">_xlfn.IFS(P102 ="State_Plan", RANDBETWEEN(1,23), P102 ="State_Code", RANDBETWEEN(1,23), P102 = "Fed_Code", 99, P102 = "Summ_Article", 999, P102 = "Guide", 999)</f>
        <v>99</v>
      </c>
      <c r="R102" t="str">
        <f ca="1">VLOOKUP(Q102,'States and Locations'!$A$1:$B$26,2)</f>
        <v>National</v>
      </c>
      <c r="S102">
        <f ca="1">VLOOKUP(Q102,'States and Locations'!$A$1:$D$26,3)</f>
        <v>39.833300000000001</v>
      </c>
      <c r="T102">
        <f ca="1">VLOOKUP(Q102,'States and Locations'!$A$1:$D$26,4)</f>
        <v>-98.583299999999994</v>
      </c>
      <c r="U102">
        <f t="shared" ca="1" si="19"/>
        <v>4</v>
      </c>
      <c r="V102" t="str">
        <f ca="1">VLOOKUP('Master Sheet'!E102,'Code Options'!$A$1:$R$7,10)</f>
        <v>Disposal</v>
      </c>
      <c r="W102">
        <f t="shared" ca="1" si="20"/>
        <v>3</v>
      </c>
      <c r="X102" t="str">
        <f ca="1">VLOOKUP('Master Sheet'!E102,'Code Options'!$A$1:$R$7,11)</f>
        <v>Comm_Fish</v>
      </c>
      <c r="Y102">
        <f t="shared" ca="1" si="21"/>
        <v>1</v>
      </c>
      <c r="Z102" t="str">
        <f ca="1">VLOOKUP('Master Sheet'!E102,'Code Options'!$A$1:$R$7,12)</f>
        <v>AS_constructors</v>
      </c>
    </row>
    <row r="103" spans="1:26" x14ac:dyDescent="0.2">
      <c r="A103">
        <f t="shared" ca="1" si="11"/>
        <v>6</v>
      </c>
      <c r="B103" t="str">
        <f ca="1">VLOOKUP('Master Sheet'!A103,'Code Options'!$A$1:$B$7,2)</f>
        <v>Tires/Rubber</v>
      </c>
      <c r="C103">
        <f t="shared" ca="1" si="12"/>
        <v>3</v>
      </c>
      <c r="D103" t="str">
        <f ca="1">VLOOKUP('Master Sheet'!C103,'Code Options'!$A$1:$R$7,3)</f>
        <v>Unsure</v>
      </c>
      <c r="E103">
        <f t="shared" ca="1" si="13"/>
        <v>4</v>
      </c>
      <c r="F103" t="str">
        <f ca="1">VLOOKUP('Master Sheet'!E103,'Code Options'!$A$1:$R$7,4)</f>
        <v>LM</v>
      </c>
      <c r="G103">
        <f t="shared" ca="1" si="14"/>
        <v>2</v>
      </c>
      <c r="H103">
        <f ca="1">VLOOKUP('Master Sheet'!E103,'Code Options'!$A$1:$R$7,5)</f>
        <v>0</v>
      </c>
      <c r="I103">
        <f t="shared" ca="1" si="15"/>
        <v>2</v>
      </c>
      <c r="J103" t="str">
        <f ca="1">VLOOKUP('Master Sheet'!G103,'Code Options'!$A$1:$R$7,6)</f>
        <v>State</v>
      </c>
      <c r="K103">
        <f t="shared" ca="1" si="16"/>
        <v>1</v>
      </c>
      <c r="L103" t="str">
        <f ca="1">VLOOKUP('Master Sheet'!I103,'Code Options'!$A$1:$R$7,7)</f>
        <v>Production</v>
      </c>
      <c r="M103">
        <f t="shared" ca="1" si="17"/>
        <v>5</v>
      </c>
      <c r="N103" t="str">
        <f ca="1">VLOOKUP('Master Sheet'!K103,'Code Options'!$A$1:$R$7,8)</f>
        <v>Fish.Enhancement</v>
      </c>
      <c r="O103">
        <f t="shared" ca="1" si="18"/>
        <v>1</v>
      </c>
      <c r="P103" t="str">
        <f ca="1">VLOOKUP('Master Sheet'!E103,'Code Options'!$A$1:$R$7,9)</f>
        <v>Summ_Article</v>
      </c>
      <c r="Q103" cm="1">
        <f t="array" aca="1" ref="Q103" ca="1">_xlfn.IFS(P103 ="State_Plan", RANDBETWEEN(1,23), P103 ="State_Code", RANDBETWEEN(1,23), P103 = "Fed_Code", 99, P103 = "Summ_Article", 999, P103 = "Guide", 999)</f>
        <v>999</v>
      </c>
      <c r="R103" t="str">
        <f ca="1">VLOOKUP(Q103,'States and Locations'!$A$1:$B$26,2)</f>
        <v>UNK</v>
      </c>
      <c r="S103">
        <f ca="1">VLOOKUP(Q103,'States and Locations'!$A$1:$D$26,3)</f>
        <v>25</v>
      </c>
      <c r="T103">
        <f ca="1">VLOOKUP(Q103,'States and Locations'!$A$1:$D$26,4)</f>
        <v>-90</v>
      </c>
      <c r="U103">
        <f t="shared" ca="1" si="19"/>
        <v>3</v>
      </c>
      <c r="V103" t="str">
        <f ca="1">VLOOKUP('Master Sheet'!E103,'Code Options'!$A$1:$R$7,10)</f>
        <v>Hab_restoration</v>
      </c>
      <c r="W103">
        <f t="shared" ca="1" si="20"/>
        <v>4</v>
      </c>
      <c r="X103" t="str">
        <f ca="1">VLOOKUP('Master Sheet'!E103,'Code Options'!$A$1:$R$7,11)</f>
        <v>Non-Fish_rec</v>
      </c>
      <c r="Y103">
        <f t="shared" ca="1" si="21"/>
        <v>4</v>
      </c>
      <c r="Z103" t="str">
        <f ca="1">VLOOKUP('Master Sheet'!E103,'Code Options'!$A$1:$R$7,12)</f>
        <v>people_interested</v>
      </c>
    </row>
    <row r="104" spans="1:26" x14ac:dyDescent="0.2">
      <c r="A104">
        <f t="shared" ca="1" si="11"/>
        <v>3</v>
      </c>
      <c r="B104" t="str">
        <f ca="1">VLOOKUP('Master Sheet'!A104,'Code Options'!$A$1:$B$7,2)</f>
        <v>Metal</v>
      </c>
      <c r="C104">
        <f t="shared" ca="1" si="12"/>
        <v>1</v>
      </c>
      <c r="D104" t="str">
        <f ca="1">VLOOKUP('Master Sheet'!C104,'Code Options'!$A$1:$R$7,3)</f>
        <v>Retro</v>
      </c>
      <c r="E104">
        <f t="shared" ca="1" si="13"/>
        <v>1</v>
      </c>
      <c r="F104" t="str">
        <f ca="1">VLOOKUP('Master Sheet'!E104,'Code Options'!$A$1:$R$7,4)</f>
        <v>Will</v>
      </c>
      <c r="G104">
        <f t="shared" ca="1" si="14"/>
        <v>2</v>
      </c>
      <c r="H104" t="str">
        <f ca="1">VLOOKUP('Master Sheet'!E104,'Code Options'!$A$1:$R$7,5)</f>
        <v>Will</v>
      </c>
      <c r="I104">
        <f t="shared" ca="1" si="15"/>
        <v>3</v>
      </c>
      <c r="J104" t="str">
        <f ca="1">VLOOKUP('Master Sheet'!G104,'Code Options'!$A$1:$R$7,6)</f>
        <v>State</v>
      </c>
      <c r="K104">
        <f t="shared" ca="1" si="16"/>
        <v>1</v>
      </c>
      <c r="L104" t="str">
        <f ca="1">VLOOKUP('Master Sheet'!I104,'Code Options'!$A$1:$R$7,7)</f>
        <v>Aggregation</v>
      </c>
      <c r="M104">
        <f t="shared" ca="1" si="17"/>
        <v>3</v>
      </c>
      <c r="N104" t="str">
        <f ca="1">VLOOKUP('Master Sheet'!K104,'Code Options'!$A$1:$R$7,8)</f>
        <v>Fish.Enhancement</v>
      </c>
      <c r="O104">
        <f t="shared" ca="1" si="18"/>
        <v>3</v>
      </c>
      <c r="P104" t="str">
        <f ca="1">VLOOKUP('Master Sheet'!E104,'Code Options'!$A$1:$R$7,9)</f>
        <v>State_Code</v>
      </c>
      <c r="Q104" cm="1">
        <f t="array" aca="1" ref="Q104" ca="1">_xlfn.IFS(P104 ="State_Plan", RANDBETWEEN(1,23), P104 ="State_Code", RANDBETWEEN(1,23), P104 = "Fed_Code", 99, P104 = "Summ_Article", 999, P104 = "Guide", 999)</f>
        <v>19</v>
      </c>
      <c r="R104" t="str">
        <f ca="1">VLOOKUP(Q104,'States and Locations'!$A$1:$B$26,2)</f>
        <v>California</v>
      </c>
      <c r="S104">
        <f ca="1">VLOOKUP(Q104,'States and Locations'!$A$1:$D$26,3)</f>
        <v>36.966700000000003</v>
      </c>
      <c r="T104">
        <f ca="1">VLOOKUP(Q104,'States and Locations'!$A$1:$D$26,4)</f>
        <v>-120.08329999999999</v>
      </c>
      <c r="U104">
        <f t="shared" ca="1" si="19"/>
        <v>3</v>
      </c>
      <c r="V104" t="str">
        <f ca="1">VLOOKUP('Master Sheet'!E104,'Code Options'!$A$1:$R$7,10)</f>
        <v>Hab_enhancement</v>
      </c>
      <c r="W104">
        <f t="shared" ca="1" si="20"/>
        <v>4</v>
      </c>
      <c r="X104" t="str">
        <f ca="1">VLOOKUP('Master Sheet'!E104,'Code Options'!$A$1:$R$7,11)</f>
        <v>Rec_Fish</v>
      </c>
      <c r="Y104">
        <f t="shared" ca="1" si="21"/>
        <v>5</v>
      </c>
      <c r="Z104" t="str">
        <f ca="1">VLOOKUP('Master Sheet'!E104,'Code Options'!$A$1:$R$7,12)</f>
        <v>AR_proj_plan_mngrs</v>
      </c>
    </row>
    <row r="105" spans="1:26" x14ac:dyDescent="0.2">
      <c r="A105">
        <f t="shared" ca="1" si="11"/>
        <v>4</v>
      </c>
      <c r="B105" t="str">
        <f ca="1">VLOOKUP('Master Sheet'!A105,'Code Options'!$A$1:$B$7,2)</f>
        <v>Other</v>
      </c>
      <c r="C105">
        <f t="shared" ca="1" si="12"/>
        <v>3</v>
      </c>
      <c r="D105" t="str">
        <f ca="1">VLOOKUP('Master Sheet'!C105,'Code Options'!$A$1:$R$7,3)</f>
        <v>Unsure</v>
      </c>
      <c r="E105">
        <f t="shared" ca="1" si="13"/>
        <v>5</v>
      </c>
      <c r="F105" t="str">
        <f ca="1">VLOOKUP('Master Sheet'!E105,'Code Options'!$A$1:$R$7,4)</f>
        <v>Nick</v>
      </c>
      <c r="G105">
        <f t="shared" ca="1" si="14"/>
        <v>3</v>
      </c>
      <c r="H105">
        <f ca="1">VLOOKUP('Master Sheet'!E105,'Code Options'!$A$1:$R$7,5)</f>
        <v>0</v>
      </c>
      <c r="I105">
        <f t="shared" ca="1" si="15"/>
        <v>4</v>
      </c>
      <c r="J105" t="str">
        <f ca="1">VLOOKUP('Master Sheet'!G105,'Code Options'!$A$1:$R$7,6)</f>
        <v>Regional</v>
      </c>
      <c r="K105">
        <f t="shared" ca="1" si="16"/>
        <v>2</v>
      </c>
      <c r="L105" t="str">
        <f ca="1">VLOOKUP('Master Sheet'!I105,'Code Options'!$A$1:$R$7,7)</f>
        <v>Biodiversity</v>
      </c>
      <c r="M105">
        <f t="shared" ca="1" si="17"/>
        <v>2</v>
      </c>
      <c r="N105" t="str">
        <f ca="1">VLOOKUP('Master Sheet'!K105,'Code Options'!$A$1:$R$7,8)</f>
        <v>Comm.Fish.Mngmt</v>
      </c>
      <c r="O105">
        <f t="shared" ca="1" si="18"/>
        <v>5</v>
      </c>
      <c r="P105" t="str">
        <f ca="1">VLOOKUP('Master Sheet'!E105,'Code Options'!$A$1:$R$7,9)</f>
        <v>Guide</v>
      </c>
      <c r="Q105" cm="1">
        <f t="array" aca="1" ref="Q105" ca="1">_xlfn.IFS(P105 ="State_Plan", RANDBETWEEN(1,23), P105 ="State_Code", RANDBETWEEN(1,23), P105 = "Fed_Code", 99, P105 = "Summ_Article", 999, P105 = "Guide", 999)</f>
        <v>999</v>
      </c>
      <c r="R105" t="str">
        <f ca="1">VLOOKUP(Q105,'States and Locations'!$A$1:$B$26,2)</f>
        <v>UNK</v>
      </c>
      <c r="S105">
        <f ca="1">VLOOKUP(Q105,'States and Locations'!$A$1:$D$26,3)</f>
        <v>25</v>
      </c>
      <c r="T105">
        <f ca="1">VLOOKUP(Q105,'States and Locations'!$A$1:$D$26,4)</f>
        <v>-90</v>
      </c>
      <c r="U105">
        <f t="shared" ca="1" si="19"/>
        <v>1</v>
      </c>
      <c r="V105" t="str">
        <f ca="1">VLOOKUP('Master Sheet'!E105,'Code Options'!$A$1:$R$7,10)</f>
        <v>Wave_attenuation</v>
      </c>
      <c r="W105">
        <f t="shared" ca="1" si="20"/>
        <v>3</v>
      </c>
      <c r="X105" t="str">
        <f ca="1">VLOOKUP('Master Sheet'!E105,'Code Options'!$A$1:$R$7,11)</f>
        <v>Scuba</v>
      </c>
      <c r="Y105">
        <f t="shared" ca="1" si="21"/>
        <v>2</v>
      </c>
      <c r="Z105" t="str">
        <f ca="1">VLOOKUP('Master Sheet'!E105,'Code Options'!$A$1:$R$7,12)</f>
        <v>anglers</v>
      </c>
    </row>
    <row r="106" spans="1:26" x14ac:dyDescent="0.2">
      <c r="A106">
        <f t="shared" ca="1" si="11"/>
        <v>2</v>
      </c>
      <c r="B106" t="str">
        <f ca="1">VLOOKUP('Master Sheet'!A106,'Code Options'!$A$1:$B$7,2)</f>
        <v>Concrete</v>
      </c>
      <c r="C106">
        <f t="shared" ca="1" si="12"/>
        <v>1</v>
      </c>
      <c r="D106" t="str">
        <f ca="1">VLOOKUP('Master Sheet'!C106,'Code Options'!$A$1:$R$7,3)</f>
        <v>Retro</v>
      </c>
      <c r="E106">
        <f t="shared" ca="1" si="13"/>
        <v>3</v>
      </c>
      <c r="F106" t="str">
        <f ca="1">VLOOKUP('Master Sheet'!E106,'Code Options'!$A$1:$R$7,4)</f>
        <v>Jon</v>
      </c>
      <c r="G106">
        <f t="shared" ca="1" si="14"/>
        <v>2</v>
      </c>
      <c r="H106" t="str">
        <f ca="1">VLOOKUP('Master Sheet'!E106,'Code Options'!$A$1:$R$7,5)</f>
        <v>Nick</v>
      </c>
      <c r="I106">
        <f t="shared" ca="1" si="15"/>
        <v>3</v>
      </c>
      <c r="J106" t="str">
        <f ca="1">VLOOKUP('Master Sheet'!G106,'Code Options'!$A$1:$R$7,6)</f>
        <v>State</v>
      </c>
      <c r="K106">
        <f t="shared" ca="1" si="16"/>
        <v>3</v>
      </c>
      <c r="L106" t="str">
        <f ca="1">VLOOKUP('Master Sheet'!I106,'Code Options'!$A$1:$R$7,7)</f>
        <v>Aggregation</v>
      </c>
      <c r="M106">
        <f t="shared" ca="1" si="17"/>
        <v>3</v>
      </c>
      <c r="N106" t="str">
        <f ca="1">VLOOKUP('Master Sheet'!K106,'Code Options'!$A$1:$R$7,8)</f>
        <v>Rec.Fish.Mngmt</v>
      </c>
      <c r="O106">
        <f t="shared" ca="1" si="18"/>
        <v>2</v>
      </c>
      <c r="P106" t="str">
        <f ca="1">VLOOKUP('Master Sheet'!E106,'Code Options'!$A$1:$R$7,9)</f>
        <v>State_Plan</v>
      </c>
      <c r="Q106" cm="1">
        <f t="array" aca="1" ref="Q106" ca="1">_xlfn.IFS(P106 ="State_Plan", RANDBETWEEN(1,23), P106 ="State_Code", RANDBETWEEN(1,23), P106 = "Fed_Code", 99, P106 = "Summ_Article", 999, P106 = "Guide", 999)</f>
        <v>5</v>
      </c>
      <c r="R106" t="str">
        <f ca="1">VLOOKUP(Q106,'States and Locations'!$A$1:$B$26,2)</f>
        <v>Connecticut</v>
      </c>
      <c r="S106">
        <f ca="1">VLOOKUP(Q106,'States and Locations'!$A$1:$D$26,3)</f>
        <v>41.6</v>
      </c>
      <c r="T106">
        <f ca="1">VLOOKUP(Q106,'States and Locations'!$A$1:$D$26,4)</f>
        <v>-72.7</v>
      </c>
      <c r="U106">
        <f t="shared" ca="1" si="19"/>
        <v>5</v>
      </c>
      <c r="V106" t="str">
        <f ca="1">VLOOKUP('Master Sheet'!E106,'Code Options'!$A$1:$R$7,10)</f>
        <v>Mitig.</v>
      </c>
      <c r="W106">
        <f t="shared" ca="1" si="20"/>
        <v>3</v>
      </c>
      <c r="X106" t="str">
        <f ca="1">VLOOKUP('Master Sheet'!E106,'Code Options'!$A$1:$R$7,11)</f>
        <v>Chart_Fish</v>
      </c>
      <c r="Y106">
        <f t="shared" ca="1" si="21"/>
        <v>1</v>
      </c>
      <c r="Z106" t="str">
        <f ca="1">VLOOKUP('Master Sheet'!E106,'Code Options'!$A$1:$R$7,12)</f>
        <v>Permit_reg_agencies</v>
      </c>
    </row>
    <row r="107" spans="1:26" x14ac:dyDescent="0.2">
      <c r="A107">
        <f t="shared" ca="1" si="11"/>
        <v>6</v>
      </c>
      <c r="B107" t="str">
        <f ca="1">VLOOKUP('Master Sheet'!A107,'Code Options'!$A$1:$B$7,2)</f>
        <v>Tires/Rubber</v>
      </c>
      <c r="C107">
        <f t="shared" ca="1" si="12"/>
        <v>1</v>
      </c>
      <c r="D107" t="str">
        <f ca="1">VLOOKUP('Master Sheet'!C107,'Code Options'!$A$1:$R$7,3)</f>
        <v>Retro</v>
      </c>
      <c r="E107">
        <f t="shared" ca="1" si="13"/>
        <v>3</v>
      </c>
      <c r="F107" t="str">
        <f ca="1">VLOOKUP('Master Sheet'!E107,'Code Options'!$A$1:$R$7,4)</f>
        <v>Jon</v>
      </c>
      <c r="G107">
        <f t="shared" ca="1" si="14"/>
        <v>2</v>
      </c>
      <c r="H107" t="str">
        <f ca="1">VLOOKUP('Master Sheet'!E107,'Code Options'!$A$1:$R$7,5)</f>
        <v>Nick</v>
      </c>
      <c r="I107">
        <f t="shared" ca="1" si="15"/>
        <v>3</v>
      </c>
      <c r="J107" t="str">
        <f ca="1">VLOOKUP('Master Sheet'!G107,'Code Options'!$A$1:$R$7,6)</f>
        <v>State</v>
      </c>
      <c r="K107">
        <f t="shared" ca="1" si="16"/>
        <v>1</v>
      </c>
      <c r="L107" t="str">
        <f ca="1">VLOOKUP('Master Sheet'!I107,'Code Options'!$A$1:$R$7,7)</f>
        <v>Aggregation</v>
      </c>
      <c r="M107">
        <f t="shared" ca="1" si="17"/>
        <v>3</v>
      </c>
      <c r="N107" t="str">
        <f ca="1">VLOOKUP('Master Sheet'!K107,'Code Options'!$A$1:$R$7,8)</f>
        <v>Fish.Enhancement</v>
      </c>
      <c r="O107">
        <f t="shared" ca="1" si="18"/>
        <v>3</v>
      </c>
      <c r="P107" t="str">
        <f ca="1">VLOOKUP('Master Sheet'!E107,'Code Options'!$A$1:$R$7,9)</f>
        <v>State_Plan</v>
      </c>
      <c r="Q107" cm="1">
        <f t="array" aca="1" ref="Q107" ca="1">_xlfn.IFS(P107 ="State_Plan", RANDBETWEEN(1,23), P107 ="State_Code", RANDBETWEEN(1,23), P107 = "Fed_Code", 99, P107 = "Summ_Article", 999, P107 = "Guide", 999)</f>
        <v>21</v>
      </c>
      <c r="R107" t="str">
        <f ca="1">VLOOKUP(Q107,'States and Locations'!$A$1:$B$26,2)</f>
        <v>Washington</v>
      </c>
      <c r="S107">
        <f ca="1">VLOOKUP(Q107,'States and Locations'!$A$1:$D$26,3)</f>
        <v>47.75</v>
      </c>
      <c r="T107">
        <f ca="1">VLOOKUP(Q107,'States and Locations'!$A$1:$D$26,4)</f>
        <v>-120.7333</v>
      </c>
      <c r="U107">
        <f t="shared" ca="1" si="19"/>
        <v>1</v>
      </c>
      <c r="V107" t="str">
        <f ca="1">VLOOKUP('Master Sheet'!E107,'Code Options'!$A$1:$R$7,10)</f>
        <v>Mitig.</v>
      </c>
      <c r="W107">
        <f t="shared" ca="1" si="20"/>
        <v>4</v>
      </c>
      <c r="X107" t="str">
        <f ca="1">VLOOKUP('Master Sheet'!E107,'Code Options'!$A$1:$R$7,11)</f>
        <v>Chart_Fish</v>
      </c>
      <c r="Y107">
        <f t="shared" ca="1" si="21"/>
        <v>1</v>
      </c>
      <c r="Z107" t="str">
        <f ca="1">VLOOKUP('Master Sheet'!E107,'Code Options'!$A$1:$R$7,12)</f>
        <v>Permit_reg_agencies</v>
      </c>
    </row>
    <row r="108" spans="1:26" x14ac:dyDescent="0.2">
      <c r="A108">
        <f t="shared" ca="1" si="11"/>
        <v>6</v>
      </c>
      <c r="B108" t="str">
        <f ca="1">VLOOKUP('Master Sheet'!A108,'Code Options'!$A$1:$B$7,2)</f>
        <v>Tires/Rubber</v>
      </c>
      <c r="C108">
        <f t="shared" ca="1" si="12"/>
        <v>3</v>
      </c>
      <c r="D108" t="str">
        <f ca="1">VLOOKUP('Master Sheet'!C108,'Code Options'!$A$1:$R$7,3)</f>
        <v>Unsure</v>
      </c>
      <c r="E108">
        <f t="shared" ca="1" si="13"/>
        <v>2</v>
      </c>
      <c r="F108" t="str">
        <f ca="1">VLOOKUP('Master Sheet'!E108,'Code Options'!$A$1:$R$7,4)</f>
        <v>Cyndi</v>
      </c>
      <c r="G108">
        <f t="shared" ca="1" si="14"/>
        <v>1</v>
      </c>
      <c r="H108" t="str">
        <f ca="1">VLOOKUP('Master Sheet'!E108,'Code Options'!$A$1:$R$7,5)</f>
        <v>Cyndi</v>
      </c>
      <c r="I108">
        <f t="shared" ca="1" si="15"/>
        <v>3</v>
      </c>
      <c r="J108" t="str">
        <f ca="1">VLOOKUP('Master Sheet'!G108,'Code Options'!$A$1:$R$7,6)</f>
        <v>County/Local</v>
      </c>
      <c r="K108">
        <f t="shared" ca="1" si="16"/>
        <v>1</v>
      </c>
      <c r="L108" t="str">
        <f ca="1">VLOOKUP('Master Sheet'!I108,'Code Options'!$A$1:$R$7,7)</f>
        <v>Aggregation</v>
      </c>
      <c r="M108">
        <f t="shared" ca="1" si="17"/>
        <v>4</v>
      </c>
      <c r="N108" t="str">
        <f ca="1">VLOOKUP('Master Sheet'!K108,'Code Options'!$A$1:$R$7,8)</f>
        <v>Fish.Enhancement</v>
      </c>
      <c r="O108">
        <f t="shared" ca="1" si="18"/>
        <v>4</v>
      </c>
      <c r="P108" t="str">
        <f ca="1">VLOOKUP('Master Sheet'!E108,'Code Options'!$A$1:$R$7,9)</f>
        <v>Fed_Code</v>
      </c>
      <c r="Q108" cm="1">
        <f t="array" aca="1" ref="Q108" ca="1">_xlfn.IFS(P108 ="State_Plan", RANDBETWEEN(1,23), P108 ="State_Code", RANDBETWEEN(1,23), P108 = "Fed_Code", 99, P108 = "Summ_Article", 999, P108 = "Guide", 999)</f>
        <v>99</v>
      </c>
      <c r="R108" t="str">
        <f ca="1">VLOOKUP(Q108,'States and Locations'!$A$1:$B$26,2)</f>
        <v>National</v>
      </c>
      <c r="S108">
        <f ca="1">VLOOKUP(Q108,'States and Locations'!$A$1:$D$26,3)</f>
        <v>39.833300000000001</v>
      </c>
      <c r="T108">
        <f ca="1">VLOOKUP(Q108,'States and Locations'!$A$1:$D$26,4)</f>
        <v>-98.583299999999994</v>
      </c>
      <c r="U108">
        <f t="shared" ca="1" si="19"/>
        <v>1</v>
      </c>
      <c r="V108" t="str">
        <f ca="1">VLOOKUP('Master Sheet'!E108,'Code Options'!$A$1:$R$7,10)</f>
        <v>Disposal</v>
      </c>
      <c r="W108">
        <f t="shared" ca="1" si="20"/>
        <v>5</v>
      </c>
      <c r="X108" t="str">
        <f ca="1">VLOOKUP('Master Sheet'!E108,'Code Options'!$A$1:$R$7,11)</f>
        <v>Comm_Fish</v>
      </c>
      <c r="Y108">
        <f t="shared" ca="1" si="21"/>
        <v>3</v>
      </c>
      <c r="Z108" t="str">
        <f ca="1">VLOOKUP('Master Sheet'!E108,'Code Options'!$A$1:$R$7,12)</f>
        <v>AS_constructors</v>
      </c>
    </row>
    <row r="109" spans="1:26" x14ac:dyDescent="0.2">
      <c r="A109">
        <f t="shared" ca="1" si="11"/>
        <v>2</v>
      </c>
      <c r="B109" t="str">
        <f ca="1">VLOOKUP('Master Sheet'!A109,'Code Options'!$A$1:$B$7,2)</f>
        <v>Concrete</v>
      </c>
      <c r="C109">
        <f t="shared" ca="1" si="12"/>
        <v>1</v>
      </c>
      <c r="D109" t="str">
        <f ca="1">VLOOKUP('Master Sheet'!C109,'Code Options'!$A$1:$R$7,3)</f>
        <v>Retro</v>
      </c>
      <c r="E109">
        <f t="shared" ca="1" si="13"/>
        <v>5</v>
      </c>
      <c r="F109" t="str">
        <f ca="1">VLOOKUP('Master Sheet'!E109,'Code Options'!$A$1:$R$7,4)</f>
        <v>Nick</v>
      </c>
      <c r="G109">
        <f t="shared" ca="1" si="14"/>
        <v>2</v>
      </c>
      <c r="H109">
        <f ca="1">VLOOKUP('Master Sheet'!E109,'Code Options'!$A$1:$R$7,5)</f>
        <v>0</v>
      </c>
      <c r="I109">
        <f t="shared" ca="1" si="15"/>
        <v>1</v>
      </c>
      <c r="J109" t="str">
        <f ca="1">VLOOKUP('Master Sheet'!G109,'Code Options'!$A$1:$R$7,6)</f>
        <v>State</v>
      </c>
      <c r="K109">
        <f t="shared" ca="1" si="16"/>
        <v>1</v>
      </c>
      <c r="L109" t="str">
        <f ca="1">VLOOKUP('Master Sheet'!I109,'Code Options'!$A$1:$R$7,7)</f>
        <v>Habitat</v>
      </c>
      <c r="M109">
        <f t="shared" ca="1" si="17"/>
        <v>5</v>
      </c>
      <c r="N109" t="str">
        <f ca="1">VLOOKUP('Master Sheet'!K109,'Code Options'!$A$1:$R$7,8)</f>
        <v>Fish.Enhancement</v>
      </c>
      <c r="O109">
        <f t="shared" ca="1" si="18"/>
        <v>2</v>
      </c>
      <c r="P109" t="str">
        <f ca="1">VLOOKUP('Master Sheet'!E109,'Code Options'!$A$1:$R$7,9)</f>
        <v>Guide</v>
      </c>
      <c r="Q109" cm="1">
        <f t="array" aca="1" ref="Q109" ca="1">_xlfn.IFS(P109 ="State_Plan", RANDBETWEEN(1,23), P109 ="State_Code", RANDBETWEEN(1,23), P109 = "Fed_Code", 99, P109 = "Summ_Article", 999, P109 = "Guide", 999)</f>
        <v>999</v>
      </c>
      <c r="R109" t="str">
        <f ca="1">VLOOKUP(Q109,'States and Locations'!$A$1:$B$26,2)</f>
        <v>UNK</v>
      </c>
      <c r="S109">
        <f ca="1">VLOOKUP(Q109,'States and Locations'!$A$1:$D$26,3)</f>
        <v>25</v>
      </c>
      <c r="T109">
        <f ca="1">VLOOKUP(Q109,'States and Locations'!$A$1:$D$26,4)</f>
        <v>-90</v>
      </c>
      <c r="U109">
        <f t="shared" ca="1" si="19"/>
        <v>3</v>
      </c>
      <c r="V109" t="str">
        <f ca="1">VLOOKUP('Master Sheet'!E109,'Code Options'!$A$1:$R$7,10)</f>
        <v>Wave_attenuation</v>
      </c>
      <c r="W109">
        <f t="shared" ca="1" si="20"/>
        <v>5</v>
      </c>
      <c r="X109" t="str">
        <f ca="1">VLOOKUP('Master Sheet'!E109,'Code Options'!$A$1:$R$7,11)</f>
        <v>Scuba</v>
      </c>
      <c r="Y109">
        <f t="shared" ca="1" si="21"/>
        <v>3</v>
      </c>
      <c r="Z109" t="str">
        <f ca="1">VLOOKUP('Master Sheet'!E109,'Code Options'!$A$1:$R$7,12)</f>
        <v>anglers</v>
      </c>
    </row>
    <row r="110" spans="1:26" x14ac:dyDescent="0.2">
      <c r="A110">
        <f t="shared" ca="1" si="11"/>
        <v>3</v>
      </c>
      <c r="B110" t="str">
        <f ca="1">VLOOKUP('Master Sheet'!A110,'Code Options'!$A$1:$B$7,2)</f>
        <v>Metal</v>
      </c>
      <c r="C110">
        <f t="shared" ca="1" si="12"/>
        <v>2</v>
      </c>
      <c r="D110" t="str">
        <f ca="1">VLOOKUP('Master Sheet'!C110,'Code Options'!$A$1:$R$7,3)</f>
        <v>Pro</v>
      </c>
      <c r="E110">
        <f t="shared" ca="1" si="13"/>
        <v>5</v>
      </c>
      <c r="F110" t="str">
        <f ca="1">VLOOKUP('Master Sheet'!E110,'Code Options'!$A$1:$R$7,4)</f>
        <v>Nick</v>
      </c>
      <c r="G110">
        <f t="shared" ca="1" si="14"/>
        <v>3</v>
      </c>
      <c r="H110">
        <f ca="1">VLOOKUP('Master Sheet'!E110,'Code Options'!$A$1:$R$7,5)</f>
        <v>0</v>
      </c>
      <c r="I110">
        <f t="shared" ca="1" si="15"/>
        <v>1</v>
      </c>
      <c r="J110" t="str">
        <f ca="1">VLOOKUP('Master Sheet'!G110,'Code Options'!$A$1:$R$7,6)</f>
        <v>Regional</v>
      </c>
      <c r="K110">
        <f t="shared" ca="1" si="16"/>
        <v>1</v>
      </c>
      <c r="L110" t="str">
        <f ca="1">VLOOKUP('Master Sheet'!I110,'Code Options'!$A$1:$R$7,7)</f>
        <v>Habitat</v>
      </c>
      <c r="M110">
        <f t="shared" ca="1" si="17"/>
        <v>2</v>
      </c>
      <c r="N110" t="str">
        <f ca="1">VLOOKUP('Master Sheet'!K110,'Code Options'!$A$1:$R$7,8)</f>
        <v>Fish.Enhancement</v>
      </c>
      <c r="O110">
        <f t="shared" ca="1" si="18"/>
        <v>3</v>
      </c>
      <c r="P110" t="str">
        <f ca="1">VLOOKUP('Master Sheet'!E110,'Code Options'!$A$1:$R$7,9)</f>
        <v>Guide</v>
      </c>
      <c r="Q110" cm="1">
        <f t="array" aca="1" ref="Q110" ca="1">_xlfn.IFS(P110 ="State_Plan", RANDBETWEEN(1,23), P110 ="State_Code", RANDBETWEEN(1,23), P110 = "Fed_Code", 99, P110 = "Summ_Article", 999, P110 = "Guide", 999)</f>
        <v>999</v>
      </c>
      <c r="R110" t="str">
        <f ca="1">VLOOKUP(Q110,'States and Locations'!$A$1:$B$26,2)</f>
        <v>UNK</v>
      </c>
      <c r="S110">
        <f ca="1">VLOOKUP(Q110,'States and Locations'!$A$1:$D$26,3)</f>
        <v>25</v>
      </c>
      <c r="T110">
        <f ca="1">VLOOKUP(Q110,'States and Locations'!$A$1:$D$26,4)</f>
        <v>-90</v>
      </c>
      <c r="U110">
        <f t="shared" ca="1" si="19"/>
        <v>5</v>
      </c>
      <c r="V110" t="str">
        <f ca="1">VLOOKUP('Master Sheet'!E110,'Code Options'!$A$1:$R$7,10)</f>
        <v>Wave_attenuation</v>
      </c>
      <c r="W110">
        <f t="shared" ca="1" si="20"/>
        <v>1</v>
      </c>
      <c r="X110" t="str">
        <f ca="1">VLOOKUP('Master Sheet'!E110,'Code Options'!$A$1:$R$7,11)</f>
        <v>Scuba</v>
      </c>
      <c r="Y110">
        <f t="shared" ca="1" si="21"/>
        <v>5</v>
      </c>
      <c r="Z110" t="str">
        <f ca="1">VLOOKUP('Master Sheet'!E110,'Code Options'!$A$1:$R$7,12)</f>
        <v>anglers</v>
      </c>
    </row>
    <row r="111" spans="1:26" x14ac:dyDescent="0.2">
      <c r="A111">
        <f t="shared" ca="1" si="11"/>
        <v>4</v>
      </c>
      <c r="B111" t="str">
        <f ca="1">VLOOKUP('Master Sheet'!A111,'Code Options'!$A$1:$B$7,2)</f>
        <v>Other</v>
      </c>
      <c r="C111">
        <f t="shared" ca="1" si="12"/>
        <v>2</v>
      </c>
      <c r="D111" t="str">
        <f ca="1">VLOOKUP('Master Sheet'!C111,'Code Options'!$A$1:$R$7,3)</f>
        <v>Pro</v>
      </c>
      <c r="E111">
        <f t="shared" ca="1" si="13"/>
        <v>5</v>
      </c>
      <c r="F111" t="str">
        <f ca="1">VLOOKUP('Master Sheet'!E111,'Code Options'!$A$1:$R$7,4)</f>
        <v>Nick</v>
      </c>
      <c r="G111">
        <f t="shared" ca="1" si="14"/>
        <v>3</v>
      </c>
      <c r="H111">
        <f ca="1">VLOOKUP('Master Sheet'!E111,'Code Options'!$A$1:$R$7,5)</f>
        <v>0</v>
      </c>
      <c r="I111">
        <f t="shared" ca="1" si="15"/>
        <v>2</v>
      </c>
      <c r="J111" t="str">
        <f ca="1">VLOOKUP('Master Sheet'!G111,'Code Options'!$A$1:$R$7,6)</f>
        <v>Regional</v>
      </c>
      <c r="K111">
        <f t="shared" ca="1" si="16"/>
        <v>1</v>
      </c>
      <c r="L111" t="str">
        <f ca="1">VLOOKUP('Master Sheet'!I111,'Code Options'!$A$1:$R$7,7)</f>
        <v>Production</v>
      </c>
      <c r="M111">
        <f t="shared" ca="1" si="17"/>
        <v>3</v>
      </c>
      <c r="N111" t="str">
        <f ca="1">VLOOKUP('Master Sheet'!K111,'Code Options'!$A$1:$R$7,8)</f>
        <v>Fish.Enhancement</v>
      </c>
      <c r="O111">
        <f t="shared" ca="1" si="18"/>
        <v>2</v>
      </c>
      <c r="P111" t="str">
        <f ca="1">VLOOKUP('Master Sheet'!E111,'Code Options'!$A$1:$R$7,9)</f>
        <v>Guide</v>
      </c>
      <c r="Q111" cm="1">
        <f t="array" aca="1" ref="Q111" ca="1">_xlfn.IFS(P111 ="State_Plan", RANDBETWEEN(1,23), P111 ="State_Code", RANDBETWEEN(1,23), P111 = "Fed_Code", 99, P111 = "Summ_Article", 999, P111 = "Guide", 999)</f>
        <v>999</v>
      </c>
      <c r="R111" t="str">
        <f ca="1">VLOOKUP(Q111,'States and Locations'!$A$1:$B$26,2)</f>
        <v>UNK</v>
      </c>
      <c r="S111">
        <f ca="1">VLOOKUP(Q111,'States and Locations'!$A$1:$D$26,3)</f>
        <v>25</v>
      </c>
      <c r="T111">
        <f ca="1">VLOOKUP(Q111,'States and Locations'!$A$1:$D$26,4)</f>
        <v>-90</v>
      </c>
      <c r="U111">
        <f t="shared" ca="1" si="19"/>
        <v>3</v>
      </c>
      <c r="V111" t="str">
        <f ca="1">VLOOKUP('Master Sheet'!E111,'Code Options'!$A$1:$R$7,10)</f>
        <v>Wave_attenuation</v>
      </c>
      <c r="W111">
        <f t="shared" ca="1" si="20"/>
        <v>3</v>
      </c>
      <c r="X111" t="str">
        <f ca="1">VLOOKUP('Master Sheet'!E111,'Code Options'!$A$1:$R$7,11)</f>
        <v>Scuba</v>
      </c>
      <c r="Y111">
        <f t="shared" ca="1" si="21"/>
        <v>1</v>
      </c>
      <c r="Z111" t="str">
        <f ca="1">VLOOKUP('Master Sheet'!E111,'Code Options'!$A$1:$R$7,12)</f>
        <v>anglers</v>
      </c>
    </row>
    <row r="112" spans="1:26" x14ac:dyDescent="0.2">
      <c r="A112">
        <f t="shared" ca="1" si="11"/>
        <v>1</v>
      </c>
      <c r="B112" t="str">
        <f ca="1">VLOOKUP('Master Sheet'!A112,'Code Options'!$A$1:$B$7,2)</f>
        <v>Composite</v>
      </c>
      <c r="C112">
        <f t="shared" ca="1" si="12"/>
        <v>1</v>
      </c>
      <c r="D112" t="str">
        <f ca="1">VLOOKUP('Master Sheet'!C112,'Code Options'!$A$1:$R$7,3)</f>
        <v>Retro</v>
      </c>
      <c r="E112">
        <f t="shared" ca="1" si="13"/>
        <v>4</v>
      </c>
      <c r="F112" t="str">
        <f ca="1">VLOOKUP('Master Sheet'!E112,'Code Options'!$A$1:$R$7,4)</f>
        <v>LM</v>
      </c>
      <c r="G112">
        <f t="shared" ca="1" si="14"/>
        <v>2</v>
      </c>
      <c r="H112">
        <f ca="1">VLOOKUP('Master Sheet'!E112,'Code Options'!$A$1:$R$7,5)</f>
        <v>0</v>
      </c>
      <c r="I112">
        <f t="shared" ca="1" si="15"/>
        <v>4</v>
      </c>
      <c r="J112" t="str">
        <f ca="1">VLOOKUP('Master Sheet'!G112,'Code Options'!$A$1:$R$7,6)</f>
        <v>State</v>
      </c>
      <c r="K112">
        <f t="shared" ca="1" si="16"/>
        <v>3</v>
      </c>
      <c r="L112" t="str">
        <f ca="1">VLOOKUP('Master Sheet'!I112,'Code Options'!$A$1:$R$7,7)</f>
        <v>Biodiversity</v>
      </c>
      <c r="M112">
        <f t="shared" ca="1" si="17"/>
        <v>5</v>
      </c>
      <c r="N112" t="str">
        <f ca="1">VLOOKUP('Master Sheet'!K112,'Code Options'!$A$1:$R$7,8)</f>
        <v>Rec.Fish.Mngmt</v>
      </c>
      <c r="O112">
        <f t="shared" ca="1" si="18"/>
        <v>3</v>
      </c>
      <c r="P112" t="str">
        <f ca="1">VLOOKUP('Master Sheet'!E112,'Code Options'!$A$1:$R$7,9)</f>
        <v>Summ_Article</v>
      </c>
      <c r="Q112" cm="1">
        <f t="array" aca="1" ref="Q112" ca="1">_xlfn.IFS(P112 ="State_Plan", RANDBETWEEN(1,23), P112 ="State_Code", RANDBETWEEN(1,23), P112 = "Fed_Code", 99, P112 = "Summ_Article", 999, P112 = "Guide", 999)</f>
        <v>999</v>
      </c>
      <c r="R112" t="str">
        <f ca="1">VLOOKUP(Q112,'States and Locations'!$A$1:$B$26,2)</f>
        <v>UNK</v>
      </c>
      <c r="S112">
        <f ca="1">VLOOKUP(Q112,'States and Locations'!$A$1:$D$26,3)</f>
        <v>25</v>
      </c>
      <c r="T112">
        <f ca="1">VLOOKUP(Q112,'States and Locations'!$A$1:$D$26,4)</f>
        <v>-90</v>
      </c>
      <c r="U112">
        <f t="shared" ca="1" si="19"/>
        <v>5</v>
      </c>
      <c r="V112" t="str">
        <f ca="1">VLOOKUP('Master Sheet'!E112,'Code Options'!$A$1:$R$7,10)</f>
        <v>Hab_restoration</v>
      </c>
      <c r="W112">
        <f t="shared" ca="1" si="20"/>
        <v>1</v>
      </c>
      <c r="X112" t="str">
        <f ca="1">VLOOKUP('Master Sheet'!E112,'Code Options'!$A$1:$R$7,11)</f>
        <v>Non-Fish_rec</v>
      </c>
      <c r="Y112">
        <f t="shared" ca="1" si="21"/>
        <v>3</v>
      </c>
      <c r="Z112" t="str">
        <f ca="1">VLOOKUP('Master Sheet'!E112,'Code Options'!$A$1:$R$7,12)</f>
        <v>people_interested</v>
      </c>
    </row>
    <row r="113" spans="1:26" x14ac:dyDescent="0.2">
      <c r="A113">
        <f t="shared" ca="1" si="11"/>
        <v>2</v>
      </c>
      <c r="B113" t="str">
        <f ca="1">VLOOKUP('Master Sheet'!A113,'Code Options'!$A$1:$B$7,2)</f>
        <v>Concrete</v>
      </c>
      <c r="C113">
        <f t="shared" ca="1" si="12"/>
        <v>1</v>
      </c>
      <c r="D113" t="str">
        <f ca="1">VLOOKUP('Master Sheet'!C113,'Code Options'!$A$1:$R$7,3)</f>
        <v>Retro</v>
      </c>
      <c r="E113">
        <f t="shared" ca="1" si="13"/>
        <v>3</v>
      </c>
      <c r="F113" t="str">
        <f ca="1">VLOOKUP('Master Sheet'!E113,'Code Options'!$A$1:$R$7,4)</f>
        <v>Jon</v>
      </c>
      <c r="G113">
        <f t="shared" ca="1" si="14"/>
        <v>2</v>
      </c>
      <c r="H113" t="str">
        <f ca="1">VLOOKUP('Master Sheet'!E113,'Code Options'!$A$1:$R$7,5)</f>
        <v>Nick</v>
      </c>
      <c r="I113">
        <f t="shared" ca="1" si="15"/>
        <v>1</v>
      </c>
      <c r="J113" t="str">
        <f ca="1">VLOOKUP('Master Sheet'!G113,'Code Options'!$A$1:$R$7,6)</f>
        <v>State</v>
      </c>
      <c r="K113">
        <f t="shared" ca="1" si="16"/>
        <v>3</v>
      </c>
      <c r="L113" t="str">
        <f ca="1">VLOOKUP('Master Sheet'!I113,'Code Options'!$A$1:$R$7,7)</f>
        <v>Habitat</v>
      </c>
      <c r="M113">
        <f t="shared" ca="1" si="17"/>
        <v>5</v>
      </c>
      <c r="N113" t="str">
        <f ca="1">VLOOKUP('Master Sheet'!K113,'Code Options'!$A$1:$R$7,8)</f>
        <v>Rec.Fish.Mngmt</v>
      </c>
      <c r="O113">
        <f t="shared" ca="1" si="18"/>
        <v>1</v>
      </c>
      <c r="P113" t="str">
        <f ca="1">VLOOKUP('Master Sheet'!E113,'Code Options'!$A$1:$R$7,9)</f>
        <v>State_Plan</v>
      </c>
      <c r="Q113" cm="1">
        <f t="array" aca="1" ref="Q113" ca="1">_xlfn.IFS(P113 ="State_Plan", RANDBETWEEN(1,23), P113 ="State_Code", RANDBETWEEN(1,23), P113 = "Fed_Code", 99, P113 = "Summ_Article", 999, P113 = "Guide", 999)</f>
        <v>3</v>
      </c>
      <c r="R113" t="str">
        <f ca="1">VLOOKUP(Q113,'States and Locations'!$A$1:$B$26,2)</f>
        <v>Massachussetts</v>
      </c>
      <c r="S113">
        <f ca="1">VLOOKUP(Q113,'States and Locations'!$A$1:$D$26,3)</f>
        <v>42.4</v>
      </c>
      <c r="T113">
        <f ca="1">VLOOKUP(Q113,'States and Locations'!$A$1:$D$26,4)</f>
        <v>-71.383300000000006</v>
      </c>
      <c r="U113">
        <f t="shared" ca="1" si="19"/>
        <v>5</v>
      </c>
      <c r="V113" t="str">
        <f ca="1">VLOOKUP('Master Sheet'!E113,'Code Options'!$A$1:$R$7,10)</f>
        <v>Mitig.</v>
      </c>
      <c r="W113">
        <f t="shared" ca="1" si="20"/>
        <v>3</v>
      </c>
      <c r="X113" t="str">
        <f ca="1">VLOOKUP('Master Sheet'!E113,'Code Options'!$A$1:$R$7,11)</f>
        <v>Chart_Fish</v>
      </c>
      <c r="Y113">
        <f t="shared" ca="1" si="21"/>
        <v>2</v>
      </c>
      <c r="Z113" t="str">
        <f ca="1">VLOOKUP('Master Sheet'!E113,'Code Options'!$A$1:$R$7,12)</f>
        <v>Permit_reg_agencies</v>
      </c>
    </row>
    <row r="114" spans="1:26" x14ac:dyDescent="0.2">
      <c r="A114">
        <f t="shared" ca="1" si="11"/>
        <v>2</v>
      </c>
      <c r="B114" t="str">
        <f ca="1">VLOOKUP('Master Sheet'!A114,'Code Options'!$A$1:$B$7,2)</f>
        <v>Concrete</v>
      </c>
      <c r="C114">
        <f t="shared" ca="1" si="12"/>
        <v>3</v>
      </c>
      <c r="D114" t="str">
        <f ca="1">VLOOKUP('Master Sheet'!C114,'Code Options'!$A$1:$R$7,3)</f>
        <v>Unsure</v>
      </c>
      <c r="E114">
        <f t="shared" ca="1" si="13"/>
        <v>2</v>
      </c>
      <c r="F114" t="str">
        <f ca="1">VLOOKUP('Master Sheet'!E114,'Code Options'!$A$1:$R$7,4)</f>
        <v>Cyndi</v>
      </c>
      <c r="G114">
        <f t="shared" ca="1" si="14"/>
        <v>2</v>
      </c>
      <c r="H114" t="str">
        <f ca="1">VLOOKUP('Master Sheet'!E114,'Code Options'!$A$1:$R$7,5)</f>
        <v>Cyndi</v>
      </c>
      <c r="I114">
        <f t="shared" ca="1" si="15"/>
        <v>4</v>
      </c>
      <c r="J114" t="str">
        <f ca="1">VLOOKUP('Master Sheet'!G114,'Code Options'!$A$1:$R$7,6)</f>
        <v>State</v>
      </c>
      <c r="K114">
        <f t="shared" ca="1" si="16"/>
        <v>3</v>
      </c>
      <c r="L114" t="str">
        <f ca="1">VLOOKUP('Master Sheet'!I114,'Code Options'!$A$1:$R$7,7)</f>
        <v>Biodiversity</v>
      </c>
      <c r="M114">
        <f t="shared" ca="1" si="17"/>
        <v>2</v>
      </c>
      <c r="N114" t="str">
        <f ca="1">VLOOKUP('Master Sheet'!K114,'Code Options'!$A$1:$R$7,8)</f>
        <v>Rec.Fish.Mngmt</v>
      </c>
      <c r="O114">
        <f t="shared" ca="1" si="18"/>
        <v>4</v>
      </c>
      <c r="P114" t="str">
        <f ca="1">VLOOKUP('Master Sheet'!E114,'Code Options'!$A$1:$R$7,9)</f>
        <v>Fed_Code</v>
      </c>
      <c r="Q114" cm="1">
        <f t="array" aca="1" ref="Q114" ca="1">_xlfn.IFS(P114 ="State_Plan", RANDBETWEEN(1,23), P114 ="State_Code", RANDBETWEEN(1,23), P114 = "Fed_Code", 99, P114 = "Summ_Article", 999, P114 = "Guide", 999)</f>
        <v>99</v>
      </c>
      <c r="R114" t="str">
        <f ca="1">VLOOKUP(Q114,'States and Locations'!$A$1:$B$26,2)</f>
        <v>National</v>
      </c>
      <c r="S114">
        <f ca="1">VLOOKUP(Q114,'States and Locations'!$A$1:$D$26,3)</f>
        <v>39.833300000000001</v>
      </c>
      <c r="T114">
        <f ca="1">VLOOKUP(Q114,'States and Locations'!$A$1:$D$26,4)</f>
        <v>-98.583299999999994</v>
      </c>
      <c r="U114">
        <f t="shared" ca="1" si="19"/>
        <v>1</v>
      </c>
      <c r="V114" t="str">
        <f ca="1">VLOOKUP('Master Sheet'!E114,'Code Options'!$A$1:$R$7,10)</f>
        <v>Disposal</v>
      </c>
      <c r="W114">
        <f t="shared" ca="1" si="20"/>
        <v>5</v>
      </c>
      <c r="X114" t="str">
        <f ca="1">VLOOKUP('Master Sheet'!E114,'Code Options'!$A$1:$R$7,11)</f>
        <v>Comm_Fish</v>
      </c>
      <c r="Y114">
        <f t="shared" ca="1" si="21"/>
        <v>2</v>
      </c>
      <c r="Z114" t="str">
        <f ca="1">VLOOKUP('Master Sheet'!E114,'Code Options'!$A$1:$R$7,12)</f>
        <v>AS_constructors</v>
      </c>
    </row>
    <row r="115" spans="1:26" x14ac:dyDescent="0.2">
      <c r="A115">
        <f t="shared" ca="1" si="11"/>
        <v>6</v>
      </c>
      <c r="B115" t="str">
        <f ca="1">VLOOKUP('Master Sheet'!A115,'Code Options'!$A$1:$B$7,2)</f>
        <v>Tires/Rubber</v>
      </c>
      <c r="C115">
        <f t="shared" ca="1" si="12"/>
        <v>3</v>
      </c>
      <c r="D115" t="str">
        <f ca="1">VLOOKUP('Master Sheet'!C115,'Code Options'!$A$1:$R$7,3)</f>
        <v>Unsure</v>
      </c>
      <c r="E115">
        <f t="shared" ca="1" si="13"/>
        <v>5</v>
      </c>
      <c r="F115" t="str">
        <f ca="1">VLOOKUP('Master Sheet'!E115,'Code Options'!$A$1:$R$7,4)</f>
        <v>Nick</v>
      </c>
      <c r="G115">
        <f t="shared" ca="1" si="14"/>
        <v>2</v>
      </c>
      <c r="H115">
        <f ca="1">VLOOKUP('Master Sheet'!E115,'Code Options'!$A$1:$R$7,5)</f>
        <v>0</v>
      </c>
      <c r="I115">
        <f t="shared" ca="1" si="15"/>
        <v>3</v>
      </c>
      <c r="J115" t="str">
        <f ca="1">VLOOKUP('Master Sheet'!G115,'Code Options'!$A$1:$R$7,6)</f>
        <v>State</v>
      </c>
      <c r="K115">
        <f t="shared" ca="1" si="16"/>
        <v>3</v>
      </c>
      <c r="L115" t="str">
        <f ca="1">VLOOKUP('Master Sheet'!I115,'Code Options'!$A$1:$R$7,7)</f>
        <v>Aggregation</v>
      </c>
      <c r="M115">
        <f t="shared" ca="1" si="17"/>
        <v>4</v>
      </c>
      <c r="N115" t="str">
        <f ca="1">VLOOKUP('Master Sheet'!K115,'Code Options'!$A$1:$R$7,8)</f>
        <v>Rec.Fish.Mngmt</v>
      </c>
      <c r="O115">
        <f t="shared" ca="1" si="18"/>
        <v>1</v>
      </c>
      <c r="P115" t="str">
        <f ca="1">VLOOKUP('Master Sheet'!E115,'Code Options'!$A$1:$R$7,9)</f>
        <v>Guide</v>
      </c>
      <c r="Q115" cm="1">
        <f t="array" aca="1" ref="Q115" ca="1">_xlfn.IFS(P115 ="State_Plan", RANDBETWEEN(1,23), P115 ="State_Code", RANDBETWEEN(1,23), P115 = "Fed_Code", 99, P115 = "Summ_Article", 999, P115 = "Guide", 999)</f>
        <v>999</v>
      </c>
      <c r="R115" t="str">
        <f ca="1">VLOOKUP(Q115,'States and Locations'!$A$1:$B$26,2)</f>
        <v>UNK</v>
      </c>
      <c r="S115">
        <f ca="1">VLOOKUP(Q115,'States and Locations'!$A$1:$D$26,3)</f>
        <v>25</v>
      </c>
      <c r="T115">
        <f ca="1">VLOOKUP(Q115,'States and Locations'!$A$1:$D$26,4)</f>
        <v>-90</v>
      </c>
      <c r="U115">
        <f t="shared" ca="1" si="19"/>
        <v>5</v>
      </c>
      <c r="V115" t="str">
        <f ca="1">VLOOKUP('Master Sheet'!E115,'Code Options'!$A$1:$R$7,10)</f>
        <v>Wave_attenuation</v>
      </c>
      <c r="W115">
        <f t="shared" ca="1" si="20"/>
        <v>4</v>
      </c>
      <c r="X115" t="str">
        <f ca="1">VLOOKUP('Master Sheet'!E115,'Code Options'!$A$1:$R$7,11)</f>
        <v>Scuba</v>
      </c>
      <c r="Y115">
        <f t="shared" ca="1" si="21"/>
        <v>4</v>
      </c>
      <c r="Z115" t="str">
        <f ca="1">VLOOKUP('Master Sheet'!E115,'Code Options'!$A$1:$R$7,12)</f>
        <v>anglers</v>
      </c>
    </row>
    <row r="116" spans="1:26" x14ac:dyDescent="0.2">
      <c r="A116">
        <f t="shared" ca="1" si="11"/>
        <v>2</v>
      </c>
      <c r="B116" t="str">
        <f ca="1">VLOOKUP('Master Sheet'!A116,'Code Options'!$A$1:$B$7,2)</f>
        <v>Concrete</v>
      </c>
      <c r="C116">
        <f t="shared" ca="1" si="12"/>
        <v>3</v>
      </c>
      <c r="D116" t="str">
        <f ca="1">VLOOKUP('Master Sheet'!C116,'Code Options'!$A$1:$R$7,3)</f>
        <v>Unsure</v>
      </c>
      <c r="E116">
        <f t="shared" ca="1" si="13"/>
        <v>2</v>
      </c>
      <c r="F116" t="str">
        <f ca="1">VLOOKUP('Master Sheet'!E116,'Code Options'!$A$1:$R$7,4)</f>
        <v>Cyndi</v>
      </c>
      <c r="G116">
        <f t="shared" ca="1" si="14"/>
        <v>1</v>
      </c>
      <c r="H116" t="str">
        <f ca="1">VLOOKUP('Master Sheet'!E116,'Code Options'!$A$1:$R$7,5)</f>
        <v>Cyndi</v>
      </c>
      <c r="I116">
        <f t="shared" ca="1" si="15"/>
        <v>2</v>
      </c>
      <c r="J116" t="str">
        <f ca="1">VLOOKUP('Master Sheet'!G116,'Code Options'!$A$1:$R$7,6)</f>
        <v>County/Local</v>
      </c>
      <c r="K116">
        <f t="shared" ca="1" si="16"/>
        <v>3</v>
      </c>
      <c r="L116" t="str">
        <f ca="1">VLOOKUP('Master Sheet'!I116,'Code Options'!$A$1:$R$7,7)</f>
        <v>Production</v>
      </c>
      <c r="M116">
        <f t="shared" ca="1" si="17"/>
        <v>2</v>
      </c>
      <c r="N116" t="str">
        <f ca="1">VLOOKUP('Master Sheet'!K116,'Code Options'!$A$1:$R$7,8)</f>
        <v>Rec.Fish.Mngmt</v>
      </c>
      <c r="O116">
        <f t="shared" ca="1" si="18"/>
        <v>1</v>
      </c>
      <c r="P116" t="str">
        <f ca="1">VLOOKUP('Master Sheet'!E116,'Code Options'!$A$1:$R$7,9)</f>
        <v>Fed_Code</v>
      </c>
      <c r="Q116" cm="1">
        <f t="array" aca="1" ref="Q116" ca="1">_xlfn.IFS(P116 ="State_Plan", RANDBETWEEN(1,23), P116 ="State_Code", RANDBETWEEN(1,23), P116 = "Fed_Code", 99, P116 = "Summ_Article", 999, P116 = "Guide", 999)</f>
        <v>99</v>
      </c>
      <c r="R116" t="str">
        <f ca="1">VLOOKUP(Q116,'States and Locations'!$A$1:$B$26,2)</f>
        <v>National</v>
      </c>
      <c r="S116">
        <f ca="1">VLOOKUP(Q116,'States and Locations'!$A$1:$D$26,3)</f>
        <v>39.833300000000001</v>
      </c>
      <c r="T116">
        <f ca="1">VLOOKUP(Q116,'States and Locations'!$A$1:$D$26,4)</f>
        <v>-98.583299999999994</v>
      </c>
      <c r="U116">
        <f t="shared" ca="1" si="19"/>
        <v>3</v>
      </c>
      <c r="V116" t="str">
        <f ca="1">VLOOKUP('Master Sheet'!E116,'Code Options'!$A$1:$R$7,10)</f>
        <v>Disposal</v>
      </c>
      <c r="W116">
        <f t="shared" ca="1" si="20"/>
        <v>1</v>
      </c>
      <c r="X116" t="str">
        <f ca="1">VLOOKUP('Master Sheet'!E116,'Code Options'!$A$1:$R$7,11)</f>
        <v>Comm_Fish</v>
      </c>
      <c r="Y116">
        <f t="shared" ca="1" si="21"/>
        <v>2</v>
      </c>
      <c r="Z116" t="str">
        <f ca="1">VLOOKUP('Master Sheet'!E116,'Code Options'!$A$1:$R$7,12)</f>
        <v>AS_constructors</v>
      </c>
    </row>
    <row r="117" spans="1:26" x14ac:dyDescent="0.2">
      <c r="A117">
        <f t="shared" ca="1" si="11"/>
        <v>5</v>
      </c>
      <c r="B117" t="str">
        <f ca="1">VLOOKUP('Master Sheet'!A117,'Code Options'!$A$1:$B$7,2)</f>
        <v>Rock</v>
      </c>
      <c r="C117">
        <f t="shared" ca="1" si="12"/>
        <v>1</v>
      </c>
      <c r="D117" t="str">
        <f ca="1">VLOOKUP('Master Sheet'!C117,'Code Options'!$A$1:$R$7,3)</f>
        <v>Retro</v>
      </c>
      <c r="E117">
        <f t="shared" ca="1" si="13"/>
        <v>4</v>
      </c>
      <c r="F117" t="str">
        <f ca="1">VLOOKUP('Master Sheet'!E117,'Code Options'!$A$1:$R$7,4)</f>
        <v>LM</v>
      </c>
      <c r="G117">
        <f t="shared" ca="1" si="14"/>
        <v>3</v>
      </c>
      <c r="H117">
        <f ca="1">VLOOKUP('Master Sheet'!E117,'Code Options'!$A$1:$R$7,5)</f>
        <v>0</v>
      </c>
      <c r="I117">
        <f t="shared" ca="1" si="15"/>
        <v>4</v>
      </c>
      <c r="J117" t="str">
        <f ca="1">VLOOKUP('Master Sheet'!G117,'Code Options'!$A$1:$R$7,6)</f>
        <v>Regional</v>
      </c>
      <c r="K117">
        <f t="shared" ca="1" si="16"/>
        <v>4</v>
      </c>
      <c r="L117" t="str">
        <f ca="1">VLOOKUP('Master Sheet'!I117,'Code Options'!$A$1:$R$7,7)</f>
        <v>Biodiversity</v>
      </c>
      <c r="M117">
        <f t="shared" ca="1" si="17"/>
        <v>1</v>
      </c>
      <c r="N117" t="str">
        <f ca="1">VLOOKUP('Master Sheet'!K117,'Code Options'!$A$1:$R$7,8)</f>
        <v>Creation of AR Mat</v>
      </c>
      <c r="O117">
        <f t="shared" ca="1" si="18"/>
        <v>2</v>
      </c>
      <c r="P117" t="str">
        <f ca="1">VLOOKUP('Master Sheet'!E117,'Code Options'!$A$1:$R$7,9)</f>
        <v>Summ_Article</v>
      </c>
      <c r="Q117" cm="1">
        <f t="array" aca="1" ref="Q117" ca="1">_xlfn.IFS(P117 ="State_Plan", RANDBETWEEN(1,23), P117 ="State_Code", RANDBETWEEN(1,23), P117 = "Fed_Code", 99, P117 = "Summ_Article", 999, P117 = "Guide", 999)</f>
        <v>999</v>
      </c>
      <c r="R117" t="str">
        <f ca="1">VLOOKUP(Q117,'States and Locations'!$A$1:$B$26,2)</f>
        <v>UNK</v>
      </c>
      <c r="S117">
        <f ca="1">VLOOKUP(Q117,'States and Locations'!$A$1:$D$26,3)</f>
        <v>25</v>
      </c>
      <c r="T117">
        <f ca="1">VLOOKUP(Q117,'States and Locations'!$A$1:$D$26,4)</f>
        <v>-90</v>
      </c>
      <c r="U117">
        <f t="shared" ca="1" si="19"/>
        <v>2</v>
      </c>
      <c r="V117" t="str">
        <f ca="1">VLOOKUP('Master Sheet'!E117,'Code Options'!$A$1:$R$7,10)</f>
        <v>Hab_restoration</v>
      </c>
      <c r="W117">
        <f t="shared" ca="1" si="20"/>
        <v>5</v>
      </c>
      <c r="X117" t="str">
        <f ca="1">VLOOKUP('Master Sheet'!E117,'Code Options'!$A$1:$R$7,11)</f>
        <v>Non-Fish_rec</v>
      </c>
      <c r="Y117">
        <f t="shared" ca="1" si="21"/>
        <v>5</v>
      </c>
      <c r="Z117" t="str">
        <f ca="1">VLOOKUP('Master Sheet'!E117,'Code Options'!$A$1:$R$7,12)</f>
        <v>people_interested</v>
      </c>
    </row>
    <row r="118" spans="1:26" x14ac:dyDescent="0.2">
      <c r="A118">
        <f t="shared" ca="1" si="11"/>
        <v>2</v>
      </c>
      <c r="B118" t="str">
        <f ca="1">VLOOKUP('Master Sheet'!A118,'Code Options'!$A$1:$B$7,2)</f>
        <v>Concrete</v>
      </c>
      <c r="C118">
        <f t="shared" ca="1" si="12"/>
        <v>1</v>
      </c>
      <c r="D118" t="str">
        <f ca="1">VLOOKUP('Master Sheet'!C118,'Code Options'!$A$1:$R$7,3)</f>
        <v>Retro</v>
      </c>
      <c r="E118">
        <f t="shared" ca="1" si="13"/>
        <v>2</v>
      </c>
      <c r="F118" t="str">
        <f ca="1">VLOOKUP('Master Sheet'!E118,'Code Options'!$A$1:$R$7,4)</f>
        <v>Cyndi</v>
      </c>
      <c r="G118">
        <f t="shared" ca="1" si="14"/>
        <v>1</v>
      </c>
      <c r="H118" t="str">
        <f ca="1">VLOOKUP('Master Sheet'!E118,'Code Options'!$A$1:$R$7,5)</f>
        <v>Cyndi</v>
      </c>
      <c r="I118">
        <f t="shared" ca="1" si="15"/>
        <v>4</v>
      </c>
      <c r="J118" t="str">
        <f ca="1">VLOOKUP('Master Sheet'!G118,'Code Options'!$A$1:$R$7,6)</f>
        <v>County/Local</v>
      </c>
      <c r="K118">
        <f t="shared" ca="1" si="16"/>
        <v>4</v>
      </c>
      <c r="L118" t="str">
        <f ca="1">VLOOKUP('Master Sheet'!I118,'Code Options'!$A$1:$R$7,7)</f>
        <v>Biodiversity</v>
      </c>
      <c r="M118">
        <f t="shared" ca="1" si="17"/>
        <v>1</v>
      </c>
      <c r="N118" t="str">
        <f ca="1">VLOOKUP('Master Sheet'!K118,'Code Options'!$A$1:$R$7,8)</f>
        <v>Creation of AR Mat</v>
      </c>
      <c r="O118">
        <f t="shared" ca="1" si="18"/>
        <v>5</v>
      </c>
      <c r="P118" t="str">
        <f ca="1">VLOOKUP('Master Sheet'!E118,'Code Options'!$A$1:$R$7,9)</f>
        <v>Fed_Code</v>
      </c>
      <c r="Q118" cm="1">
        <f t="array" aca="1" ref="Q118" ca="1">_xlfn.IFS(P118 ="State_Plan", RANDBETWEEN(1,23), P118 ="State_Code", RANDBETWEEN(1,23), P118 = "Fed_Code", 99, P118 = "Summ_Article", 999, P118 = "Guide", 999)</f>
        <v>99</v>
      </c>
      <c r="R118" t="str">
        <f ca="1">VLOOKUP(Q118,'States and Locations'!$A$1:$B$26,2)</f>
        <v>National</v>
      </c>
      <c r="S118">
        <f ca="1">VLOOKUP(Q118,'States and Locations'!$A$1:$D$26,3)</f>
        <v>39.833300000000001</v>
      </c>
      <c r="T118">
        <f ca="1">VLOOKUP(Q118,'States and Locations'!$A$1:$D$26,4)</f>
        <v>-98.583299999999994</v>
      </c>
      <c r="U118">
        <f t="shared" ca="1" si="19"/>
        <v>1</v>
      </c>
      <c r="V118" t="str">
        <f ca="1">VLOOKUP('Master Sheet'!E118,'Code Options'!$A$1:$R$7,10)</f>
        <v>Disposal</v>
      </c>
      <c r="W118">
        <f t="shared" ca="1" si="20"/>
        <v>3</v>
      </c>
      <c r="X118" t="str">
        <f ca="1">VLOOKUP('Master Sheet'!E118,'Code Options'!$A$1:$R$7,11)</f>
        <v>Comm_Fish</v>
      </c>
      <c r="Y118">
        <f t="shared" ca="1" si="21"/>
        <v>2</v>
      </c>
      <c r="Z118" t="str">
        <f ca="1">VLOOKUP('Master Sheet'!E118,'Code Options'!$A$1:$R$7,12)</f>
        <v>AS_constructors</v>
      </c>
    </row>
    <row r="119" spans="1:26" x14ac:dyDescent="0.2">
      <c r="A119">
        <f t="shared" ca="1" si="11"/>
        <v>4</v>
      </c>
      <c r="B119" t="str">
        <f ca="1">VLOOKUP('Master Sheet'!A119,'Code Options'!$A$1:$B$7,2)</f>
        <v>Other</v>
      </c>
      <c r="C119">
        <f t="shared" ca="1" si="12"/>
        <v>3</v>
      </c>
      <c r="D119" t="str">
        <f ca="1">VLOOKUP('Master Sheet'!C119,'Code Options'!$A$1:$R$7,3)</f>
        <v>Unsure</v>
      </c>
      <c r="E119">
        <f t="shared" ca="1" si="13"/>
        <v>4</v>
      </c>
      <c r="F119" t="str">
        <f ca="1">VLOOKUP('Master Sheet'!E119,'Code Options'!$A$1:$R$7,4)</f>
        <v>LM</v>
      </c>
      <c r="G119">
        <f t="shared" ca="1" si="14"/>
        <v>2</v>
      </c>
      <c r="H119">
        <f ca="1">VLOOKUP('Master Sheet'!E119,'Code Options'!$A$1:$R$7,5)</f>
        <v>0</v>
      </c>
      <c r="I119">
        <f t="shared" ca="1" si="15"/>
        <v>1</v>
      </c>
      <c r="J119" t="str">
        <f ca="1">VLOOKUP('Master Sheet'!G119,'Code Options'!$A$1:$R$7,6)</f>
        <v>State</v>
      </c>
      <c r="K119">
        <f t="shared" ca="1" si="16"/>
        <v>3</v>
      </c>
      <c r="L119" t="str">
        <f ca="1">VLOOKUP('Master Sheet'!I119,'Code Options'!$A$1:$R$7,7)</f>
        <v>Habitat</v>
      </c>
      <c r="M119">
        <f t="shared" ca="1" si="17"/>
        <v>3</v>
      </c>
      <c r="N119" t="str">
        <f ca="1">VLOOKUP('Master Sheet'!K119,'Code Options'!$A$1:$R$7,8)</f>
        <v>Rec.Fish.Mngmt</v>
      </c>
      <c r="O119">
        <f t="shared" ca="1" si="18"/>
        <v>3</v>
      </c>
      <c r="P119" t="str">
        <f ca="1">VLOOKUP('Master Sheet'!E119,'Code Options'!$A$1:$R$7,9)</f>
        <v>Summ_Article</v>
      </c>
      <c r="Q119" cm="1">
        <f t="array" aca="1" ref="Q119" ca="1">_xlfn.IFS(P119 ="State_Plan", RANDBETWEEN(1,23), P119 ="State_Code", RANDBETWEEN(1,23), P119 = "Fed_Code", 99, P119 = "Summ_Article", 999, P119 = "Guide", 999)</f>
        <v>999</v>
      </c>
      <c r="R119" t="str">
        <f ca="1">VLOOKUP(Q119,'States and Locations'!$A$1:$B$26,2)</f>
        <v>UNK</v>
      </c>
      <c r="S119">
        <f ca="1">VLOOKUP(Q119,'States and Locations'!$A$1:$D$26,3)</f>
        <v>25</v>
      </c>
      <c r="T119">
        <f ca="1">VLOOKUP(Q119,'States and Locations'!$A$1:$D$26,4)</f>
        <v>-90</v>
      </c>
      <c r="U119">
        <f t="shared" ca="1" si="19"/>
        <v>4</v>
      </c>
      <c r="V119" t="str">
        <f ca="1">VLOOKUP('Master Sheet'!E119,'Code Options'!$A$1:$R$7,10)</f>
        <v>Hab_restoration</v>
      </c>
      <c r="W119">
        <f t="shared" ca="1" si="20"/>
        <v>4</v>
      </c>
      <c r="X119" t="str">
        <f ca="1">VLOOKUP('Master Sheet'!E119,'Code Options'!$A$1:$R$7,11)</f>
        <v>Non-Fish_rec</v>
      </c>
      <c r="Y119">
        <f t="shared" ca="1" si="21"/>
        <v>2</v>
      </c>
      <c r="Z119" t="str">
        <f ca="1">VLOOKUP('Master Sheet'!E119,'Code Options'!$A$1:$R$7,12)</f>
        <v>people_interested</v>
      </c>
    </row>
    <row r="120" spans="1:26" x14ac:dyDescent="0.2">
      <c r="A120">
        <f t="shared" ca="1" si="11"/>
        <v>2</v>
      </c>
      <c r="B120" t="str">
        <f ca="1">VLOOKUP('Master Sheet'!A120,'Code Options'!$A$1:$B$7,2)</f>
        <v>Concrete</v>
      </c>
      <c r="C120">
        <f t="shared" ca="1" si="12"/>
        <v>3</v>
      </c>
      <c r="D120" t="str">
        <f ca="1">VLOOKUP('Master Sheet'!C120,'Code Options'!$A$1:$R$7,3)</f>
        <v>Unsure</v>
      </c>
      <c r="E120">
        <f t="shared" ca="1" si="13"/>
        <v>5</v>
      </c>
      <c r="F120" t="str">
        <f ca="1">VLOOKUP('Master Sheet'!E120,'Code Options'!$A$1:$R$7,4)</f>
        <v>Nick</v>
      </c>
      <c r="G120">
        <f t="shared" ca="1" si="14"/>
        <v>1</v>
      </c>
      <c r="H120">
        <f ca="1">VLOOKUP('Master Sheet'!E120,'Code Options'!$A$1:$R$7,5)</f>
        <v>0</v>
      </c>
      <c r="I120">
        <f t="shared" ca="1" si="15"/>
        <v>3</v>
      </c>
      <c r="J120" t="str">
        <f ca="1">VLOOKUP('Master Sheet'!G120,'Code Options'!$A$1:$R$7,6)</f>
        <v>County/Local</v>
      </c>
      <c r="K120">
        <f t="shared" ca="1" si="16"/>
        <v>1</v>
      </c>
      <c r="L120" t="str">
        <f ca="1">VLOOKUP('Master Sheet'!I120,'Code Options'!$A$1:$R$7,7)</f>
        <v>Aggregation</v>
      </c>
      <c r="M120">
        <f t="shared" ca="1" si="17"/>
        <v>1</v>
      </c>
      <c r="N120" t="str">
        <f ca="1">VLOOKUP('Master Sheet'!K120,'Code Options'!$A$1:$R$7,8)</f>
        <v>Fish.Enhancement</v>
      </c>
      <c r="O120">
        <f t="shared" ca="1" si="18"/>
        <v>5</v>
      </c>
      <c r="P120" t="str">
        <f ca="1">VLOOKUP('Master Sheet'!E120,'Code Options'!$A$1:$R$7,9)</f>
        <v>Guide</v>
      </c>
      <c r="Q120" cm="1">
        <f t="array" aca="1" ref="Q120" ca="1">_xlfn.IFS(P120 ="State_Plan", RANDBETWEEN(1,23), P120 ="State_Code", RANDBETWEEN(1,23), P120 = "Fed_Code", 99, P120 = "Summ_Article", 999, P120 = "Guide", 999)</f>
        <v>999</v>
      </c>
      <c r="R120" t="str">
        <f ca="1">VLOOKUP(Q120,'States and Locations'!$A$1:$B$26,2)</f>
        <v>UNK</v>
      </c>
      <c r="S120">
        <f ca="1">VLOOKUP(Q120,'States and Locations'!$A$1:$D$26,3)</f>
        <v>25</v>
      </c>
      <c r="T120">
        <f ca="1">VLOOKUP(Q120,'States and Locations'!$A$1:$D$26,4)</f>
        <v>-90</v>
      </c>
      <c r="U120">
        <f t="shared" ca="1" si="19"/>
        <v>2</v>
      </c>
      <c r="V120" t="str">
        <f ca="1">VLOOKUP('Master Sheet'!E120,'Code Options'!$A$1:$R$7,10)</f>
        <v>Wave_attenuation</v>
      </c>
      <c r="W120">
        <f t="shared" ca="1" si="20"/>
        <v>3</v>
      </c>
      <c r="X120" t="str">
        <f ca="1">VLOOKUP('Master Sheet'!E120,'Code Options'!$A$1:$R$7,11)</f>
        <v>Scuba</v>
      </c>
      <c r="Y120">
        <f t="shared" ca="1" si="21"/>
        <v>5</v>
      </c>
      <c r="Z120" t="str">
        <f ca="1">VLOOKUP('Master Sheet'!E120,'Code Options'!$A$1:$R$7,12)</f>
        <v>anglers</v>
      </c>
    </row>
    <row r="121" spans="1:26" x14ac:dyDescent="0.2">
      <c r="A121">
        <f t="shared" ca="1" si="11"/>
        <v>3</v>
      </c>
      <c r="B121" t="str">
        <f ca="1">VLOOKUP('Master Sheet'!A121,'Code Options'!$A$1:$B$7,2)</f>
        <v>Metal</v>
      </c>
      <c r="C121">
        <f t="shared" ca="1" si="12"/>
        <v>3</v>
      </c>
      <c r="D121" t="str">
        <f ca="1">VLOOKUP('Master Sheet'!C121,'Code Options'!$A$1:$R$7,3)</f>
        <v>Unsure</v>
      </c>
      <c r="E121">
        <f t="shared" ca="1" si="13"/>
        <v>3</v>
      </c>
      <c r="F121" t="str">
        <f ca="1">VLOOKUP('Master Sheet'!E121,'Code Options'!$A$1:$R$7,4)</f>
        <v>Jon</v>
      </c>
      <c r="G121">
        <f t="shared" ca="1" si="14"/>
        <v>1</v>
      </c>
      <c r="H121" t="str">
        <f ca="1">VLOOKUP('Master Sheet'!E121,'Code Options'!$A$1:$R$7,5)</f>
        <v>Nick</v>
      </c>
      <c r="I121">
        <f t="shared" ca="1" si="15"/>
        <v>3</v>
      </c>
      <c r="J121" t="str">
        <f ca="1">VLOOKUP('Master Sheet'!G121,'Code Options'!$A$1:$R$7,6)</f>
        <v>County/Local</v>
      </c>
      <c r="K121">
        <f t="shared" ca="1" si="16"/>
        <v>3</v>
      </c>
      <c r="L121" t="str">
        <f ca="1">VLOOKUP('Master Sheet'!I121,'Code Options'!$A$1:$R$7,7)</f>
        <v>Aggregation</v>
      </c>
      <c r="M121">
        <f t="shared" ca="1" si="17"/>
        <v>2</v>
      </c>
      <c r="N121" t="str">
        <f ca="1">VLOOKUP('Master Sheet'!K121,'Code Options'!$A$1:$R$7,8)</f>
        <v>Rec.Fish.Mngmt</v>
      </c>
      <c r="O121">
        <f t="shared" ca="1" si="18"/>
        <v>2</v>
      </c>
      <c r="P121" t="str">
        <f ca="1">VLOOKUP('Master Sheet'!E121,'Code Options'!$A$1:$R$7,9)</f>
        <v>State_Plan</v>
      </c>
      <c r="Q121" cm="1">
        <f t="array" aca="1" ref="Q121" ca="1">_xlfn.IFS(P121 ="State_Plan", RANDBETWEEN(1,23), P121 ="State_Code", RANDBETWEEN(1,23), P121 = "Fed_Code", 99, P121 = "Summ_Article", 999, P121 = "Guide", 999)</f>
        <v>11</v>
      </c>
      <c r="R121" t="str">
        <f ca="1">VLOOKUP(Q121,'States and Locations'!$A$1:$B$26,2)</f>
        <v>North Carolina</v>
      </c>
      <c r="S121">
        <f ca="1">VLOOKUP(Q121,'States and Locations'!$A$1:$D$26,3)</f>
        <v>35.783299999999997</v>
      </c>
      <c r="T121">
        <f ca="1">VLOOKUP(Q121,'States and Locations'!$A$1:$D$26,4)</f>
        <v>-79.816699999999997</v>
      </c>
      <c r="U121">
        <f t="shared" ca="1" si="19"/>
        <v>2</v>
      </c>
      <c r="V121" t="str">
        <f ca="1">VLOOKUP('Master Sheet'!E121,'Code Options'!$A$1:$R$7,10)</f>
        <v>Mitig.</v>
      </c>
      <c r="W121">
        <f t="shared" ca="1" si="20"/>
        <v>3</v>
      </c>
      <c r="X121" t="str">
        <f ca="1">VLOOKUP('Master Sheet'!E121,'Code Options'!$A$1:$R$7,11)</f>
        <v>Chart_Fish</v>
      </c>
      <c r="Y121">
        <f t="shared" ca="1" si="21"/>
        <v>2</v>
      </c>
      <c r="Z121" t="str">
        <f ca="1">VLOOKUP('Master Sheet'!E121,'Code Options'!$A$1:$R$7,12)</f>
        <v>Permit_reg_agencies</v>
      </c>
    </row>
    <row r="122" spans="1:26" x14ac:dyDescent="0.2">
      <c r="A122">
        <f t="shared" ca="1" si="11"/>
        <v>2</v>
      </c>
      <c r="B122" t="str">
        <f ca="1">VLOOKUP('Master Sheet'!A122,'Code Options'!$A$1:$B$7,2)</f>
        <v>Concrete</v>
      </c>
      <c r="C122">
        <f t="shared" ca="1" si="12"/>
        <v>2</v>
      </c>
      <c r="D122" t="str">
        <f ca="1">VLOOKUP('Master Sheet'!C122,'Code Options'!$A$1:$R$7,3)</f>
        <v>Pro</v>
      </c>
      <c r="E122">
        <f t="shared" ca="1" si="13"/>
        <v>4</v>
      </c>
      <c r="F122" t="str">
        <f ca="1">VLOOKUP('Master Sheet'!E122,'Code Options'!$A$1:$R$7,4)</f>
        <v>LM</v>
      </c>
      <c r="G122">
        <f t="shared" ca="1" si="14"/>
        <v>3</v>
      </c>
      <c r="H122">
        <f ca="1">VLOOKUP('Master Sheet'!E122,'Code Options'!$A$1:$R$7,5)</f>
        <v>0</v>
      </c>
      <c r="I122">
        <f t="shared" ca="1" si="15"/>
        <v>3</v>
      </c>
      <c r="J122" t="str">
        <f ca="1">VLOOKUP('Master Sheet'!G122,'Code Options'!$A$1:$R$7,6)</f>
        <v>Regional</v>
      </c>
      <c r="K122">
        <f t="shared" ca="1" si="16"/>
        <v>2</v>
      </c>
      <c r="L122" t="str">
        <f ca="1">VLOOKUP('Master Sheet'!I122,'Code Options'!$A$1:$R$7,7)</f>
        <v>Aggregation</v>
      </c>
      <c r="M122">
        <f t="shared" ca="1" si="17"/>
        <v>4</v>
      </c>
      <c r="N122" t="str">
        <f ca="1">VLOOKUP('Master Sheet'!K122,'Code Options'!$A$1:$R$7,8)</f>
        <v>Comm.Fish.Mngmt</v>
      </c>
      <c r="O122">
        <f t="shared" ca="1" si="18"/>
        <v>4</v>
      </c>
      <c r="P122" t="str">
        <f ca="1">VLOOKUP('Master Sheet'!E122,'Code Options'!$A$1:$R$7,9)</f>
        <v>Summ_Article</v>
      </c>
      <c r="Q122" cm="1">
        <f t="array" aca="1" ref="Q122" ca="1">_xlfn.IFS(P122 ="State_Plan", RANDBETWEEN(1,23), P122 ="State_Code", RANDBETWEEN(1,23), P122 = "Fed_Code", 99, P122 = "Summ_Article", 999, P122 = "Guide", 999)</f>
        <v>999</v>
      </c>
      <c r="R122" t="str">
        <f ca="1">VLOOKUP(Q122,'States and Locations'!$A$1:$B$26,2)</f>
        <v>UNK</v>
      </c>
      <c r="S122">
        <f ca="1">VLOOKUP(Q122,'States and Locations'!$A$1:$D$26,3)</f>
        <v>25</v>
      </c>
      <c r="T122">
        <f ca="1">VLOOKUP(Q122,'States and Locations'!$A$1:$D$26,4)</f>
        <v>-90</v>
      </c>
      <c r="U122">
        <f t="shared" ca="1" si="19"/>
        <v>4</v>
      </c>
      <c r="V122" t="str">
        <f ca="1">VLOOKUP('Master Sheet'!E122,'Code Options'!$A$1:$R$7,10)</f>
        <v>Hab_restoration</v>
      </c>
      <c r="W122">
        <f t="shared" ca="1" si="20"/>
        <v>5</v>
      </c>
      <c r="X122" t="str">
        <f ca="1">VLOOKUP('Master Sheet'!E122,'Code Options'!$A$1:$R$7,11)</f>
        <v>Non-Fish_rec</v>
      </c>
      <c r="Y122">
        <f t="shared" ca="1" si="21"/>
        <v>5</v>
      </c>
      <c r="Z122" t="str">
        <f ca="1">VLOOKUP('Master Sheet'!E122,'Code Options'!$A$1:$R$7,12)</f>
        <v>people_interested</v>
      </c>
    </row>
    <row r="123" spans="1:26" x14ac:dyDescent="0.2">
      <c r="A123">
        <f t="shared" ca="1" si="11"/>
        <v>5</v>
      </c>
      <c r="B123" t="str">
        <f ca="1">VLOOKUP('Master Sheet'!A123,'Code Options'!$A$1:$B$7,2)</f>
        <v>Rock</v>
      </c>
      <c r="C123">
        <f t="shared" ca="1" si="12"/>
        <v>1</v>
      </c>
      <c r="D123" t="str">
        <f ca="1">VLOOKUP('Master Sheet'!C123,'Code Options'!$A$1:$R$7,3)</f>
        <v>Retro</v>
      </c>
      <c r="E123">
        <f t="shared" ca="1" si="13"/>
        <v>5</v>
      </c>
      <c r="F123" t="str">
        <f ca="1">VLOOKUP('Master Sheet'!E123,'Code Options'!$A$1:$R$7,4)</f>
        <v>Nick</v>
      </c>
      <c r="G123">
        <f t="shared" ca="1" si="14"/>
        <v>2</v>
      </c>
      <c r="H123">
        <f ca="1">VLOOKUP('Master Sheet'!E123,'Code Options'!$A$1:$R$7,5)</f>
        <v>0</v>
      </c>
      <c r="I123">
        <f t="shared" ca="1" si="15"/>
        <v>4</v>
      </c>
      <c r="J123" t="str">
        <f ca="1">VLOOKUP('Master Sheet'!G123,'Code Options'!$A$1:$R$7,6)</f>
        <v>State</v>
      </c>
      <c r="K123">
        <f t="shared" ca="1" si="16"/>
        <v>4</v>
      </c>
      <c r="L123" t="str">
        <f ca="1">VLOOKUP('Master Sheet'!I123,'Code Options'!$A$1:$R$7,7)</f>
        <v>Biodiversity</v>
      </c>
      <c r="M123">
        <f t="shared" ca="1" si="17"/>
        <v>3</v>
      </c>
      <c r="N123" t="str">
        <f ca="1">VLOOKUP('Master Sheet'!K123,'Code Options'!$A$1:$R$7,8)</f>
        <v>Creation of AR Mat</v>
      </c>
      <c r="O123">
        <f t="shared" ca="1" si="18"/>
        <v>1</v>
      </c>
      <c r="P123" t="str">
        <f ca="1">VLOOKUP('Master Sheet'!E123,'Code Options'!$A$1:$R$7,9)</f>
        <v>Guide</v>
      </c>
      <c r="Q123" cm="1">
        <f t="array" aca="1" ref="Q123" ca="1">_xlfn.IFS(P123 ="State_Plan", RANDBETWEEN(1,23), P123 ="State_Code", RANDBETWEEN(1,23), P123 = "Fed_Code", 99, P123 = "Summ_Article", 999, P123 = "Guide", 999)</f>
        <v>999</v>
      </c>
      <c r="R123" t="str">
        <f ca="1">VLOOKUP(Q123,'States and Locations'!$A$1:$B$26,2)</f>
        <v>UNK</v>
      </c>
      <c r="S123">
        <f ca="1">VLOOKUP(Q123,'States and Locations'!$A$1:$D$26,3)</f>
        <v>25</v>
      </c>
      <c r="T123">
        <f ca="1">VLOOKUP(Q123,'States and Locations'!$A$1:$D$26,4)</f>
        <v>-90</v>
      </c>
      <c r="U123">
        <f t="shared" ca="1" si="19"/>
        <v>5</v>
      </c>
      <c r="V123" t="str">
        <f ca="1">VLOOKUP('Master Sheet'!E123,'Code Options'!$A$1:$R$7,10)</f>
        <v>Wave_attenuation</v>
      </c>
      <c r="W123">
        <f t="shared" ca="1" si="20"/>
        <v>2</v>
      </c>
      <c r="X123" t="str">
        <f ca="1">VLOOKUP('Master Sheet'!E123,'Code Options'!$A$1:$R$7,11)</f>
        <v>Scuba</v>
      </c>
      <c r="Y123">
        <f t="shared" ca="1" si="21"/>
        <v>4</v>
      </c>
      <c r="Z123" t="str">
        <f ca="1">VLOOKUP('Master Sheet'!E123,'Code Options'!$A$1:$R$7,12)</f>
        <v>anglers</v>
      </c>
    </row>
    <row r="124" spans="1:26" x14ac:dyDescent="0.2">
      <c r="A124">
        <f t="shared" ca="1" si="11"/>
        <v>6</v>
      </c>
      <c r="B124" t="str">
        <f ca="1">VLOOKUP('Master Sheet'!A124,'Code Options'!$A$1:$B$7,2)</f>
        <v>Tires/Rubber</v>
      </c>
      <c r="C124">
        <f t="shared" ca="1" si="12"/>
        <v>2</v>
      </c>
      <c r="D124" t="str">
        <f ca="1">VLOOKUP('Master Sheet'!C124,'Code Options'!$A$1:$R$7,3)</f>
        <v>Pro</v>
      </c>
      <c r="E124">
        <f t="shared" ca="1" si="13"/>
        <v>4</v>
      </c>
      <c r="F124" t="str">
        <f ca="1">VLOOKUP('Master Sheet'!E124,'Code Options'!$A$1:$R$7,4)</f>
        <v>LM</v>
      </c>
      <c r="G124">
        <f t="shared" ca="1" si="14"/>
        <v>1</v>
      </c>
      <c r="H124">
        <f ca="1">VLOOKUP('Master Sheet'!E124,'Code Options'!$A$1:$R$7,5)</f>
        <v>0</v>
      </c>
      <c r="I124">
        <f t="shared" ca="1" si="15"/>
        <v>1</v>
      </c>
      <c r="J124" t="str">
        <f ca="1">VLOOKUP('Master Sheet'!G124,'Code Options'!$A$1:$R$7,6)</f>
        <v>County/Local</v>
      </c>
      <c r="K124">
        <f t="shared" ca="1" si="16"/>
        <v>1</v>
      </c>
      <c r="L124" t="str">
        <f ca="1">VLOOKUP('Master Sheet'!I124,'Code Options'!$A$1:$R$7,7)</f>
        <v>Habitat</v>
      </c>
      <c r="M124">
        <f t="shared" ca="1" si="17"/>
        <v>3</v>
      </c>
      <c r="N124" t="str">
        <f ca="1">VLOOKUP('Master Sheet'!K124,'Code Options'!$A$1:$R$7,8)</f>
        <v>Fish.Enhancement</v>
      </c>
      <c r="O124">
        <f t="shared" ca="1" si="18"/>
        <v>5</v>
      </c>
      <c r="P124" t="str">
        <f ca="1">VLOOKUP('Master Sheet'!E124,'Code Options'!$A$1:$R$7,9)</f>
        <v>Summ_Article</v>
      </c>
      <c r="Q124" cm="1">
        <f t="array" aca="1" ref="Q124" ca="1">_xlfn.IFS(P124 ="State_Plan", RANDBETWEEN(1,23), P124 ="State_Code", RANDBETWEEN(1,23), P124 = "Fed_Code", 99, P124 = "Summ_Article", 999, P124 = "Guide", 999)</f>
        <v>999</v>
      </c>
      <c r="R124" t="str">
        <f ca="1">VLOOKUP(Q124,'States and Locations'!$A$1:$B$26,2)</f>
        <v>UNK</v>
      </c>
      <c r="S124">
        <f ca="1">VLOOKUP(Q124,'States and Locations'!$A$1:$D$26,3)</f>
        <v>25</v>
      </c>
      <c r="T124">
        <f ca="1">VLOOKUP(Q124,'States and Locations'!$A$1:$D$26,4)</f>
        <v>-90</v>
      </c>
      <c r="U124">
        <f t="shared" ca="1" si="19"/>
        <v>2</v>
      </c>
      <c r="V124" t="str">
        <f ca="1">VLOOKUP('Master Sheet'!E124,'Code Options'!$A$1:$R$7,10)</f>
        <v>Hab_restoration</v>
      </c>
      <c r="W124">
        <f t="shared" ca="1" si="20"/>
        <v>1</v>
      </c>
      <c r="X124" t="str">
        <f ca="1">VLOOKUP('Master Sheet'!E124,'Code Options'!$A$1:$R$7,11)</f>
        <v>Non-Fish_rec</v>
      </c>
      <c r="Y124">
        <f t="shared" ca="1" si="21"/>
        <v>2</v>
      </c>
      <c r="Z124" t="str">
        <f ca="1">VLOOKUP('Master Sheet'!E124,'Code Options'!$A$1:$R$7,12)</f>
        <v>people_interested</v>
      </c>
    </row>
    <row r="125" spans="1:26" x14ac:dyDescent="0.2">
      <c r="A125">
        <f t="shared" ca="1" si="11"/>
        <v>1</v>
      </c>
      <c r="B125" t="str">
        <f ca="1">VLOOKUP('Master Sheet'!A125,'Code Options'!$A$1:$B$7,2)</f>
        <v>Composite</v>
      </c>
      <c r="C125">
        <f t="shared" ca="1" si="12"/>
        <v>1</v>
      </c>
      <c r="D125" t="str">
        <f ca="1">VLOOKUP('Master Sheet'!C125,'Code Options'!$A$1:$R$7,3)</f>
        <v>Retro</v>
      </c>
      <c r="E125">
        <f t="shared" ca="1" si="13"/>
        <v>4</v>
      </c>
      <c r="F125" t="str">
        <f ca="1">VLOOKUP('Master Sheet'!E125,'Code Options'!$A$1:$R$7,4)</f>
        <v>LM</v>
      </c>
      <c r="G125">
        <f t="shared" ca="1" si="14"/>
        <v>3</v>
      </c>
      <c r="H125">
        <f ca="1">VLOOKUP('Master Sheet'!E125,'Code Options'!$A$1:$R$7,5)</f>
        <v>0</v>
      </c>
      <c r="I125">
        <f t="shared" ca="1" si="15"/>
        <v>3</v>
      </c>
      <c r="J125" t="str">
        <f ca="1">VLOOKUP('Master Sheet'!G125,'Code Options'!$A$1:$R$7,6)</f>
        <v>Regional</v>
      </c>
      <c r="K125">
        <f t="shared" ca="1" si="16"/>
        <v>1</v>
      </c>
      <c r="L125" t="str">
        <f ca="1">VLOOKUP('Master Sheet'!I125,'Code Options'!$A$1:$R$7,7)</f>
        <v>Aggregation</v>
      </c>
      <c r="M125">
        <f t="shared" ca="1" si="17"/>
        <v>2</v>
      </c>
      <c r="N125" t="str">
        <f ca="1">VLOOKUP('Master Sheet'!K125,'Code Options'!$A$1:$R$7,8)</f>
        <v>Fish.Enhancement</v>
      </c>
      <c r="O125">
        <f t="shared" ca="1" si="18"/>
        <v>3</v>
      </c>
      <c r="P125" t="str">
        <f ca="1">VLOOKUP('Master Sheet'!E125,'Code Options'!$A$1:$R$7,9)</f>
        <v>Summ_Article</v>
      </c>
      <c r="Q125" cm="1">
        <f t="array" aca="1" ref="Q125" ca="1">_xlfn.IFS(P125 ="State_Plan", RANDBETWEEN(1,23), P125 ="State_Code", RANDBETWEEN(1,23), P125 = "Fed_Code", 99, P125 = "Summ_Article", 999, P125 = "Guide", 999)</f>
        <v>999</v>
      </c>
      <c r="R125" t="str">
        <f ca="1">VLOOKUP(Q125,'States and Locations'!$A$1:$B$26,2)</f>
        <v>UNK</v>
      </c>
      <c r="S125">
        <f ca="1">VLOOKUP(Q125,'States and Locations'!$A$1:$D$26,3)</f>
        <v>25</v>
      </c>
      <c r="T125">
        <f ca="1">VLOOKUP(Q125,'States and Locations'!$A$1:$D$26,4)</f>
        <v>-90</v>
      </c>
      <c r="U125">
        <f t="shared" ca="1" si="19"/>
        <v>3</v>
      </c>
      <c r="V125" t="str">
        <f ca="1">VLOOKUP('Master Sheet'!E125,'Code Options'!$A$1:$R$7,10)</f>
        <v>Hab_restoration</v>
      </c>
      <c r="W125">
        <f t="shared" ca="1" si="20"/>
        <v>3</v>
      </c>
      <c r="X125" t="str">
        <f ca="1">VLOOKUP('Master Sheet'!E125,'Code Options'!$A$1:$R$7,11)</f>
        <v>Non-Fish_rec</v>
      </c>
      <c r="Y125">
        <f t="shared" ca="1" si="21"/>
        <v>2</v>
      </c>
      <c r="Z125" t="str">
        <f ca="1">VLOOKUP('Master Sheet'!E125,'Code Options'!$A$1:$R$7,12)</f>
        <v>people_interested</v>
      </c>
    </row>
    <row r="126" spans="1:26" x14ac:dyDescent="0.2">
      <c r="A126">
        <f t="shared" ca="1" si="11"/>
        <v>2</v>
      </c>
      <c r="B126" t="str">
        <f ca="1">VLOOKUP('Master Sheet'!A126,'Code Options'!$A$1:$B$7,2)</f>
        <v>Concrete</v>
      </c>
      <c r="C126">
        <f t="shared" ca="1" si="12"/>
        <v>1</v>
      </c>
      <c r="D126" t="str">
        <f ca="1">VLOOKUP('Master Sheet'!C126,'Code Options'!$A$1:$R$7,3)</f>
        <v>Retro</v>
      </c>
      <c r="E126">
        <f t="shared" ca="1" si="13"/>
        <v>3</v>
      </c>
      <c r="F126" t="str">
        <f ca="1">VLOOKUP('Master Sheet'!E126,'Code Options'!$A$1:$R$7,4)</f>
        <v>Jon</v>
      </c>
      <c r="G126">
        <f t="shared" ca="1" si="14"/>
        <v>2</v>
      </c>
      <c r="H126" t="str">
        <f ca="1">VLOOKUP('Master Sheet'!E126,'Code Options'!$A$1:$R$7,5)</f>
        <v>Nick</v>
      </c>
      <c r="I126">
        <f t="shared" ca="1" si="15"/>
        <v>1</v>
      </c>
      <c r="J126" t="str">
        <f ca="1">VLOOKUP('Master Sheet'!G126,'Code Options'!$A$1:$R$7,6)</f>
        <v>State</v>
      </c>
      <c r="K126">
        <f t="shared" ca="1" si="16"/>
        <v>3</v>
      </c>
      <c r="L126" t="str">
        <f ca="1">VLOOKUP('Master Sheet'!I126,'Code Options'!$A$1:$R$7,7)</f>
        <v>Habitat</v>
      </c>
      <c r="M126">
        <f t="shared" ca="1" si="17"/>
        <v>2</v>
      </c>
      <c r="N126" t="str">
        <f ca="1">VLOOKUP('Master Sheet'!K126,'Code Options'!$A$1:$R$7,8)</f>
        <v>Rec.Fish.Mngmt</v>
      </c>
      <c r="O126">
        <f t="shared" ca="1" si="18"/>
        <v>1</v>
      </c>
      <c r="P126" t="str">
        <f ca="1">VLOOKUP('Master Sheet'!E126,'Code Options'!$A$1:$R$7,9)</f>
        <v>State_Plan</v>
      </c>
      <c r="Q126" cm="1">
        <f t="array" aca="1" ref="Q126" ca="1">_xlfn.IFS(P126 ="State_Plan", RANDBETWEEN(1,23), P126 ="State_Code", RANDBETWEEN(1,23), P126 = "Fed_Code", 99, P126 = "Summ_Article", 999, P126 = "Guide", 999)</f>
        <v>2</v>
      </c>
      <c r="R126" t="str">
        <f ca="1">VLOOKUP(Q126,'States and Locations'!$A$1:$B$26,2)</f>
        <v>New Hampshire</v>
      </c>
      <c r="S126">
        <f ca="1">VLOOKUP(Q126,'States and Locations'!$A$1:$D$26,3)</f>
        <v>43.683300000000003</v>
      </c>
      <c r="T126">
        <f ca="1">VLOOKUP(Q126,'States and Locations'!$A$1:$D$26,4)</f>
        <v>-71.583299999999994</v>
      </c>
      <c r="U126">
        <f t="shared" ca="1" si="19"/>
        <v>5</v>
      </c>
      <c r="V126" t="str">
        <f ca="1">VLOOKUP('Master Sheet'!E126,'Code Options'!$A$1:$R$7,10)</f>
        <v>Mitig.</v>
      </c>
      <c r="W126">
        <f t="shared" ca="1" si="20"/>
        <v>1</v>
      </c>
      <c r="X126" t="str">
        <f ca="1">VLOOKUP('Master Sheet'!E126,'Code Options'!$A$1:$R$7,11)</f>
        <v>Chart_Fish</v>
      </c>
      <c r="Y126">
        <f t="shared" ca="1" si="21"/>
        <v>1</v>
      </c>
      <c r="Z126" t="str">
        <f ca="1">VLOOKUP('Master Sheet'!E126,'Code Options'!$A$1:$R$7,12)</f>
        <v>Permit_reg_agencies</v>
      </c>
    </row>
    <row r="127" spans="1:26" x14ac:dyDescent="0.2">
      <c r="A127">
        <f t="shared" ca="1" si="11"/>
        <v>1</v>
      </c>
      <c r="B127" t="str">
        <f ca="1">VLOOKUP('Master Sheet'!A127,'Code Options'!$A$1:$B$7,2)</f>
        <v>Composite</v>
      </c>
      <c r="C127">
        <f t="shared" ca="1" si="12"/>
        <v>2</v>
      </c>
      <c r="D127" t="str">
        <f ca="1">VLOOKUP('Master Sheet'!C127,'Code Options'!$A$1:$R$7,3)</f>
        <v>Pro</v>
      </c>
      <c r="E127">
        <f t="shared" ca="1" si="13"/>
        <v>4</v>
      </c>
      <c r="F127" t="str">
        <f ca="1">VLOOKUP('Master Sheet'!E127,'Code Options'!$A$1:$R$7,4)</f>
        <v>LM</v>
      </c>
      <c r="G127">
        <f t="shared" ca="1" si="14"/>
        <v>1</v>
      </c>
      <c r="H127">
        <f ca="1">VLOOKUP('Master Sheet'!E127,'Code Options'!$A$1:$R$7,5)</f>
        <v>0</v>
      </c>
      <c r="I127">
        <f t="shared" ca="1" si="15"/>
        <v>3</v>
      </c>
      <c r="J127" t="str">
        <f ca="1">VLOOKUP('Master Sheet'!G127,'Code Options'!$A$1:$R$7,6)</f>
        <v>County/Local</v>
      </c>
      <c r="K127">
        <f t="shared" ca="1" si="16"/>
        <v>1</v>
      </c>
      <c r="L127" t="str">
        <f ca="1">VLOOKUP('Master Sheet'!I127,'Code Options'!$A$1:$R$7,7)</f>
        <v>Aggregation</v>
      </c>
      <c r="M127">
        <f t="shared" ca="1" si="17"/>
        <v>3</v>
      </c>
      <c r="N127" t="str">
        <f ca="1">VLOOKUP('Master Sheet'!K127,'Code Options'!$A$1:$R$7,8)</f>
        <v>Fish.Enhancement</v>
      </c>
      <c r="O127">
        <f t="shared" ca="1" si="18"/>
        <v>5</v>
      </c>
      <c r="P127" t="str">
        <f ca="1">VLOOKUP('Master Sheet'!E127,'Code Options'!$A$1:$R$7,9)</f>
        <v>Summ_Article</v>
      </c>
      <c r="Q127" cm="1">
        <f t="array" aca="1" ref="Q127" ca="1">_xlfn.IFS(P127 ="State_Plan", RANDBETWEEN(1,23), P127 ="State_Code", RANDBETWEEN(1,23), P127 = "Fed_Code", 99, P127 = "Summ_Article", 999, P127 = "Guide", 999)</f>
        <v>999</v>
      </c>
      <c r="R127" t="str">
        <f ca="1">VLOOKUP(Q127,'States and Locations'!$A$1:$B$26,2)</f>
        <v>UNK</v>
      </c>
      <c r="S127">
        <f ca="1">VLOOKUP(Q127,'States and Locations'!$A$1:$D$26,3)</f>
        <v>25</v>
      </c>
      <c r="T127">
        <f ca="1">VLOOKUP(Q127,'States and Locations'!$A$1:$D$26,4)</f>
        <v>-90</v>
      </c>
      <c r="U127">
        <f t="shared" ca="1" si="19"/>
        <v>2</v>
      </c>
      <c r="V127" t="str">
        <f ca="1">VLOOKUP('Master Sheet'!E127,'Code Options'!$A$1:$R$7,10)</f>
        <v>Hab_restoration</v>
      </c>
      <c r="W127">
        <f t="shared" ca="1" si="20"/>
        <v>5</v>
      </c>
      <c r="X127" t="str">
        <f ca="1">VLOOKUP('Master Sheet'!E127,'Code Options'!$A$1:$R$7,11)</f>
        <v>Non-Fish_rec</v>
      </c>
      <c r="Y127">
        <f t="shared" ca="1" si="21"/>
        <v>5</v>
      </c>
      <c r="Z127" t="str">
        <f ca="1">VLOOKUP('Master Sheet'!E127,'Code Options'!$A$1:$R$7,12)</f>
        <v>people_interested</v>
      </c>
    </row>
    <row r="128" spans="1:26" x14ac:dyDescent="0.2">
      <c r="A128">
        <f t="shared" ca="1" si="11"/>
        <v>2</v>
      </c>
      <c r="B128" t="str">
        <f ca="1">VLOOKUP('Master Sheet'!A128,'Code Options'!$A$1:$B$7,2)</f>
        <v>Concrete</v>
      </c>
      <c r="C128">
        <f t="shared" ca="1" si="12"/>
        <v>1</v>
      </c>
      <c r="D128" t="str">
        <f ca="1">VLOOKUP('Master Sheet'!C128,'Code Options'!$A$1:$R$7,3)</f>
        <v>Retro</v>
      </c>
      <c r="E128">
        <f t="shared" ca="1" si="13"/>
        <v>1</v>
      </c>
      <c r="F128" t="str">
        <f ca="1">VLOOKUP('Master Sheet'!E128,'Code Options'!$A$1:$R$7,4)</f>
        <v>Will</v>
      </c>
      <c r="G128">
        <f t="shared" ca="1" si="14"/>
        <v>3</v>
      </c>
      <c r="H128" t="str">
        <f ca="1">VLOOKUP('Master Sheet'!E128,'Code Options'!$A$1:$R$7,5)</f>
        <v>Will</v>
      </c>
      <c r="I128">
        <f t="shared" ca="1" si="15"/>
        <v>3</v>
      </c>
      <c r="J128" t="str">
        <f ca="1">VLOOKUP('Master Sheet'!G128,'Code Options'!$A$1:$R$7,6)</f>
        <v>Regional</v>
      </c>
      <c r="K128">
        <f t="shared" ca="1" si="16"/>
        <v>2</v>
      </c>
      <c r="L128" t="str">
        <f ca="1">VLOOKUP('Master Sheet'!I128,'Code Options'!$A$1:$R$7,7)</f>
        <v>Aggregation</v>
      </c>
      <c r="M128">
        <f t="shared" ca="1" si="17"/>
        <v>2</v>
      </c>
      <c r="N128" t="str">
        <f ca="1">VLOOKUP('Master Sheet'!K128,'Code Options'!$A$1:$R$7,8)</f>
        <v>Comm.Fish.Mngmt</v>
      </c>
      <c r="O128">
        <f t="shared" ca="1" si="18"/>
        <v>4</v>
      </c>
      <c r="P128" t="str">
        <f ca="1">VLOOKUP('Master Sheet'!E128,'Code Options'!$A$1:$R$7,9)</f>
        <v>State_Code</v>
      </c>
      <c r="Q128" cm="1">
        <f t="array" aca="1" ref="Q128" ca="1">_xlfn.IFS(P128 ="State_Plan", RANDBETWEEN(1,23), P128 ="State_Code", RANDBETWEEN(1,23), P128 = "Fed_Code", 99, P128 = "Summ_Article", 999, P128 = "Guide", 999)</f>
        <v>16</v>
      </c>
      <c r="R128" t="str">
        <f ca="1">VLOOKUP(Q128,'States and Locations'!$A$1:$B$26,2)</f>
        <v>Louisiana</v>
      </c>
      <c r="S128">
        <f ca="1">VLOOKUP(Q128,'States and Locations'!$A$1:$D$26,3)</f>
        <v>30.4</v>
      </c>
      <c r="T128">
        <f ca="1">VLOOKUP(Q128,'States and Locations'!$A$1:$D$26,4)</f>
        <v>-92.333299999999994</v>
      </c>
      <c r="U128">
        <f t="shared" ca="1" si="19"/>
        <v>3</v>
      </c>
      <c r="V128" t="str">
        <f ca="1">VLOOKUP('Master Sheet'!E128,'Code Options'!$A$1:$R$7,10)</f>
        <v>Hab_enhancement</v>
      </c>
      <c r="W128">
        <f t="shared" ca="1" si="20"/>
        <v>2</v>
      </c>
      <c r="X128" t="str">
        <f ca="1">VLOOKUP('Master Sheet'!E128,'Code Options'!$A$1:$R$7,11)</f>
        <v>Rec_Fish</v>
      </c>
      <c r="Y128">
        <f t="shared" ca="1" si="21"/>
        <v>3</v>
      </c>
      <c r="Z128" t="str">
        <f ca="1">VLOOKUP('Master Sheet'!E128,'Code Options'!$A$1:$R$7,12)</f>
        <v>AR_proj_plan_mngrs</v>
      </c>
    </row>
    <row r="129" spans="1:26" x14ac:dyDescent="0.2">
      <c r="A129">
        <f t="shared" ca="1" si="11"/>
        <v>6</v>
      </c>
      <c r="B129" t="str">
        <f ca="1">VLOOKUP('Master Sheet'!A129,'Code Options'!$A$1:$B$7,2)</f>
        <v>Tires/Rubber</v>
      </c>
      <c r="C129">
        <f t="shared" ca="1" si="12"/>
        <v>1</v>
      </c>
      <c r="D129" t="str">
        <f ca="1">VLOOKUP('Master Sheet'!C129,'Code Options'!$A$1:$R$7,3)</f>
        <v>Retro</v>
      </c>
      <c r="E129">
        <f t="shared" ca="1" si="13"/>
        <v>2</v>
      </c>
      <c r="F129" t="str">
        <f ca="1">VLOOKUP('Master Sheet'!E129,'Code Options'!$A$1:$R$7,4)</f>
        <v>Cyndi</v>
      </c>
      <c r="G129">
        <f t="shared" ca="1" si="14"/>
        <v>3</v>
      </c>
      <c r="H129" t="str">
        <f ca="1">VLOOKUP('Master Sheet'!E129,'Code Options'!$A$1:$R$7,5)</f>
        <v>Cyndi</v>
      </c>
      <c r="I129">
        <f t="shared" ca="1" si="15"/>
        <v>1</v>
      </c>
      <c r="J129" t="str">
        <f ca="1">VLOOKUP('Master Sheet'!G129,'Code Options'!$A$1:$R$7,6)</f>
        <v>Regional</v>
      </c>
      <c r="K129">
        <f t="shared" ca="1" si="16"/>
        <v>2</v>
      </c>
      <c r="L129" t="str">
        <f ca="1">VLOOKUP('Master Sheet'!I129,'Code Options'!$A$1:$R$7,7)</f>
        <v>Habitat</v>
      </c>
      <c r="M129">
        <f t="shared" ca="1" si="17"/>
        <v>4</v>
      </c>
      <c r="N129" t="str">
        <f ca="1">VLOOKUP('Master Sheet'!K129,'Code Options'!$A$1:$R$7,8)</f>
        <v>Comm.Fish.Mngmt</v>
      </c>
      <c r="O129">
        <f t="shared" ca="1" si="18"/>
        <v>5</v>
      </c>
      <c r="P129" t="str">
        <f ca="1">VLOOKUP('Master Sheet'!E129,'Code Options'!$A$1:$R$7,9)</f>
        <v>Fed_Code</v>
      </c>
      <c r="Q129" cm="1">
        <f t="array" aca="1" ref="Q129" ca="1">_xlfn.IFS(P129 ="State_Plan", RANDBETWEEN(1,23), P129 ="State_Code", RANDBETWEEN(1,23), P129 = "Fed_Code", 99, P129 = "Summ_Article", 999, P129 = "Guide", 999)</f>
        <v>99</v>
      </c>
      <c r="R129" t="str">
        <f ca="1">VLOOKUP(Q129,'States and Locations'!$A$1:$B$26,2)</f>
        <v>National</v>
      </c>
      <c r="S129">
        <f ca="1">VLOOKUP(Q129,'States and Locations'!$A$1:$D$26,3)</f>
        <v>39.833300000000001</v>
      </c>
      <c r="T129">
        <f ca="1">VLOOKUP(Q129,'States and Locations'!$A$1:$D$26,4)</f>
        <v>-98.583299999999994</v>
      </c>
      <c r="U129">
        <f t="shared" ca="1" si="19"/>
        <v>3</v>
      </c>
      <c r="V129" t="str">
        <f ca="1">VLOOKUP('Master Sheet'!E129,'Code Options'!$A$1:$R$7,10)</f>
        <v>Disposal</v>
      </c>
      <c r="W129">
        <f t="shared" ca="1" si="20"/>
        <v>2</v>
      </c>
      <c r="X129" t="str">
        <f ca="1">VLOOKUP('Master Sheet'!E129,'Code Options'!$A$1:$R$7,11)</f>
        <v>Comm_Fish</v>
      </c>
      <c r="Y129">
        <f t="shared" ca="1" si="21"/>
        <v>3</v>
      </c>
      <c r="Z129" t="str">
        <f ca="1">VLOOKUP('Master Sheet'!E129,'Code Options'!$A$1:$R$7,12)</f>
        <v>AS_constructors</v>
      </c>
    </row>
    <row r="130" spans="1:26" x14ac:dyDescent="0.2">
      <c r="A130">
        <f t="shared" ca="1" si="11"/>
        <v>2</v>
      </c>
      <c r="B130" t="str">
        <f ca="1">VLOOKUP('Master Sheet'!A130,'Code Options'!$A$1:$B$7,2)</f>
        <v>Concrete</v>
      </c>
      <c r="C130">
        <f t="shared" ca="1" si="12"/>
        <v>2</v>
      </c>
      <c r="D130" t="str">
        <f ca="1">VLOOKUP('Master Sheet'!C130,'Code Options'!$A$1:$R$7,3)</f>
        <v>Pro</v>
      </c>
      <c r="E130">
        <f t="shared" ca="1" si="13"/>
        <v>4</v>
      </c>
      <c r="F130" t="str">
        <f ca="1">VLOOKUP('Master Sheet'!E130,'Code Options'!$A$1:$R$7,4)</f>
        <v>LM</v>
      </c>
      <c r="G130">
        <f t="shared" ca="1" si="14"/>
        <v>2</v>
      </c>
      <c r="H130">
        <f ca="1">VLOOKUP('Master Sheet'!E130,'Code Options'!$A$1:$R$7,5)</f>
        <v>0</v>
      </c>
      <c r="I130">
        <f t="shared" ca="1" si="15"/>
        <v>3</v>
      </c>
      <c r="J130" t="str">
        <f ca="1">VLOOKUP('Master Sheet'!G130,'Code Options'!$A$1:$R$7,6)</f>
        <v>State</v>
      </c>
      <c r="K130">
        <f t="shared" ca="1" si="16"/>
        <v>1</v>
      </c>
      <c r="L130" t="str">
        <f ca="1">VLOOKUP('Master Sheet'!I130,'Code Options'!$A$1:$R$7,7)</f>
        <v>Aggregation</v>
      </c>
      <c r="M130">
        <f t="shared" ca="1" si="17"/>
        <v>2</v>
      </c>
      <c r="N130" t="str">
        <f ca="1">VLOOKUP('Master Sheet'!K130,'Code Options'!$A$1:$R$7,8)</f>
        <v>Fish.Enhancement</v>
      </c>
      <c r="O130">
        <f t="shared" ca="1" si="18"/>
        <v>4</v>
      </c>
      <c r="P130" t="str">
        <f ca="1">VLOOKUP('Master Sheet'!E130,'Code Options'!$A$1:$R$7,9)</f>
        <v>Summ_Article</v>
      </c>
      <c r="Q130" cm="1">
        <f t="array" aca="1" ref="Q130" ca="1">_xlfn.IFS(P130 ="State_Plan", RANDBETWEEN(1,23), P130 ="State_Code", RANDBETWEEN(1,23), P130 = "Fed_Code", 99, P130 = "Summ_Article", 999, P130 = "Guide", 999)</f>
        <v>999</v>
      </c>
      <c r="R130" t="str">
        <f ca="1">VLOOKUP(Q130,'States and Locations'!$A$1:$B$26,2)</f>
        <v>UNK</v>
      </c>
      <c r="S130">
        <f ca="1">VLOOKUP(Q130,'States and Locations'!$A$1:$D$26,3)</f>
        <v>25</v>
      </c>
      <c r="T130">
        <f ca="1">VLOOKUP(Q130,'States and Locations'!$A$1:$D$26,4)</f>
        <v>-90</v>
      </c>
      <c r="U130">
        <f t="shared" ca="1" si="19"/>
        <v>2</v>
      </c>
      <c r="V130" t="str">
        <f ca="1">VLOOKUP('Master Sheet'!E130,'Code Options'!$A$1:$R$7,10)</f>
        <v>Hab_restoration</v>
      </c>
      <c r="W130">
        <f t="shared" ca="1" si="20"/>
        <v>1</v>
      </c>
      <c r="X130" t="str">
        <f ca="1">VLOOKUP('Master Sheet'!E130,'Code Options'!$A$1:$R$7,11)</f>
        <v>Non-Fish_rec</v>
      </c>
      <c r="Y130">
        <f t="shared" ca="1" si="21"/>
        <v>4</v>
      </c>
      <c r="Z130" t="str">
        <f ca="1">VLOOKUP('Master Sheet'!E130,'Code Options'!$A$1:$R$7,12)</f>
        <v>people_interested</v>
      </c>
    </row>
    <row r="131" spans="1:26" x14ac:dyDescent="0.2">
      <c r="A131">
        <f t="shared" ref="A131:A194" ca="1" si="22">RANDBETWEEN(1,6)</f>
        <v>1</v>
      </c>
      <c r="B131" t="str">
        <f ca="1">VLOOKUP('Master Sheet'!A131,'Code Options'!$A$1:$B$7,2)</f>
        <v>Composite</v>
      </c>
      <c r="C131">
        <f t="shared" ref="C131:C194" ca="1" si="23">RANDBETWEEN(1,3)</f>
        <v>3</v>
      </c>
      <c r="D131" t="str">
        <f ca="1">VLOOKUP('Master Sheet'!C131,'Code Options'!$A$1:$R$7,3)</f>
        <v>Unsure</v>
      </c>
      <c r="E131">
        <f t="shared" ref="E131:E194" ca="1" si="24">RANDBETWEEN(1,5)</f>
        <v>5</v>
      </c>
      <c r="F131" t="str">
        <f ca="1">VLOOKUP('Master Sheet'!E131,'Code Options'!$A$1:$R$7,4)</f>
        <v>Nick</v>
      </c>
      <c r="G131">
        <f t="shared" ref="G131:G194" ca="1" si="25">RANDBETWEEN(1,3)</f>
        <v>3</v>
      </c>
      <c r="H131">
        <f ca="1">VLOOKUP('Master Sheet'!E131,'Code Options'!$A$1:$R$7,5)</f>
        <v>0</v>
      </c>
      <c r="I131">
        <f t="shared" ref="I131:I194" ca="1" si="26">RANDBETWEEN(1,4)</f>
        <v>4</v>
      </c>
      <c r="J131" t="str">
        <f ca="1">VLOOKUP('Master Sheet'!G131,'Code Options'!$A$1:$R$7,6)</f>
        <v>Regional</v>
      </c>
      <c r="K131">
        <f t="shared" ref="K131:K194" ca="1" si="27">RANDBETWEEN(1,4)</f>
        <v>2</v>
      </c>
      <c r="L131" t="str">
        <f ca="1">VLOOKUP('Master Sheet'!I131,'Code Options'!$A$1:$R$7,7)</f>
        <v>Biodiversity</v>
      </c>
      <c r="M131">
        <f t="shared" ref="M131:M194" ca="1" si="28">RANDBETWEEN(1,5)</f>
        <v>3</v>
      </c>
      <c r="N131" t="str">
        <f ca="1">VLOOKUP('Master Sheet'!K131,'Code Options'!$A$1:$R$7,8)</f>
        <v>Comm.Fish.Mngmt</v>
      </c>
      <c r="O131">
        <f t="shared" ref="O131:O194" ca="1" si="29">RANDBETWEEN(1,5)</f>
        <v>2</v>
      </c>
      <c r="P131" t="str">
        <f ca="1">VLOOKUP('Master Sheet'!E131,'Code Options'!$A$1:$R$7,9)</f>
        <v>Guide</v>
      </c>
      <c r="Q131" cm="1">
        <f t="array" aca="1" ref="Q131" ca="1">_xlfn.IFS(P131 ="State_Plan", RANDBETWEEN(1,23), P131 ="State_Code", RANDBETWEEN(1,23), P131 = "Fed_Code", 99, P131 = "Summ_Article", 999, P131 = "Guide", 999)</f>
        <v>999</v>
      </c>
      <c r="R131" t="str">
        <f ca="1">VLOOKUP(Q131,'States and Locations'!$A$1:$B$26,2)</f>
        <v>UNK</v>
      </c>
      <c r="S131">
        <f ca="1">VLOOKUP(Q131,'States and Locations'!$A$1:$D$26,3)</f>
        <v>25</v>
      </c>
      <c r="T131">
        <f ca="1">VLOOKUP(Q131,'States and Locations'!$A$1:$D$26,4)</f>
        <v>-90</v>
      </c>
      <c r="U131">
        <f t="shared" ref="U131:U194" ca="1" si="30">RANDBETWEEN(1,5)</f>
        <v>4</v>
      </c>
      <c r="V131" t="str">
        <f ca="1">VLOOKUP('Master Sheet'!E131,'Code Options'!$A$1:$R$7,10)</f>
        <v>Wave_attenuation</v>
      </c>
      <c r="W131">
        <f t="shared" ref="W131:W194" ca="1" si="31">RANDBETWEEN(1,5)</f>
        <v>1</v>
      </c>
      <c r="X131" t="str">
        <f ca="1">VLOOKUP('Master Sheet'!E131,'Code Options'!$A$1:$R$7,11)</f>
        <v>Scuba</v>
      </c>
      <c r="Y131">
        <f t="shared" ref="Y131:Y194" ca="1" si="32">RANDBETWEEN(1,5)</f>
        <v>1</v>
      </c>
      <c r="Z131" t="str">
        <f ca="1">VLOOKUP('Master Sheet'!E131,'Code Options'!$A$1:$R$7,12)</f>
        <v>anglers</v>
      </c>
    </row>
    <row r="132" spans="1:26" x14ac:dyDescent="0.2">
      <c r="A132">
        <f t="shared" ca="1" si="22"/>
        <v>4</v>
      </c>
      <c r="B132" t="str">
        <f ca="1">VLOOKUP('Master Sheet'!A132,'Code Options'!$A$1:$B$7,2)</f>
        <v>Other</v>
      </c>
      <c r="C132">
        <f t="shared" ca="1" si="23"/>
        <v>2</v>
      </c>
      <c r="D132" t="str">
        <f ca="1">VLOOKUP('Master Sheet'!C132,'Code Options'!$A$1:$R$7,3)</f>
        <v>Pro</v>
      </c>
      <c r="E132">
        <f t="shared" ca="1" si="24"/>
        <v>5</v>
      </c>
      <c r="F132" t="str">
        <f ca="1">VLOOKUP('Master Sheet'!E132,'Code Options'!$A$1:$R$7,4)</f>
        <v>Nick</v>
      </c>
      <c r="G132">
        <f t="shared" ca="1" si="25"/>
        <v>3</v>
      </c>
      <c r="H132">
        <f ca="1">VLOOKUP('Master Sheet'!E132,'Code Options'!$A$1:$R$7,5)</f>
        <v>0</v>
      </c>
      <c r="I132">
        <f t="shared" ca="1" si="26"/>
        <v>4</v>
      </c>
      <c r="J132" t="str">
        <f ca="1">VLOOKUP('Master Sheet'!G132,'Code Options'!$A$1:$R$7,6)</f>
        <v>Regional</v>
      </c>
      <c r="K132">
        <f t="shared" ca="1" si="27"/>
        <v>3</v>
      </c>
      <c r="L132" t="str">
        <f ca="1">VLOOKUP('Master Sheet'!I132,'Code Options'!$A$1:$R$7,7)</f>
        <v>Biodiversity</v>
      </c>
      <c r="M132">
        <f t="shared" ca="1" si="28"/>
        <v>2</v>
      </c>
      <c r="N132" t="str">
        <f ca="1">VLOOKUP('Master Sheet'!K132,'Code Options'!$A$1:$R$7,8)</f>
        <v>Rec.Fish.Mngmt</v>
      </c>
      <c r="O132">
        <f t="shared" ca="1" si="29"/>
        <v>1</v>
      </c>
      <c r="P132" t="str">
        <f ca="1">VLOOKUP('Master Sheet'!E132,'Code Options'!$A$1:$R$7,9)</f>
        <v>Guide</v>
      </c>
      <c r="Q132" cm="1">
        <f t="array" aca="1" ref="Q132" ca="1">_xlfn.IFS(P132 ="State_Plan", RANDBETWEEN(1,23), P132 ="State_Code", RANDBETWEEN(1,23), P132 = "Fed_Code", 99, P132 = "Summ_Article", 999, P132 = "Guide", 999)</f>
        <v>999</v>
      </c>
      <c r="R132" t="str">
        <f ca="1">VLOOKUP(Q132,'States and Locations'!$A$1:$B$26,2)</f>
        <v>UNK</v>
      </c>
      <c r="S132">
        <f ca="1">VLOOKUP(Q132,'States and Locations'!$A$1:$D$26,3)</f>
        <v>25</v>
      </c>
      <c r="T132">
        <f ca="1">VLOOKUP(Q132,'States and Locations'!$A$1:$D$26,4)</f>
        <v>-90</v>
      </c>
      <c r="U132">
        <f t="shared" ca="1" si="30"/>
        <v>5</v>
      </c>
      <c r="V132" t="str">
        <f ca="1">VLOOKUP('Master Sheet'!E132,'Code Options'!$A$1:$R$7,10)</f>
        <v>Wave_attenuation</v>
      </c>
      <c r="W132">
        <f t="shared" ca="1" si="31"/>
        <v>1</v>
      </c>
      <c r="X132" t="str">
        <f ca="1">VLOOKUP('Master Sheet'!E132,'Code Options'!$A$1:$R$7,11)</f>
        <v>Scuba</v>
      </c>
      <c r="Y132">
        <f t="shared" ca="1" si="32"/>
        <v>4</v>
      </c>
      <c r="Z132" t="str">
        <f ca="1">VLOOKUP('Master Sheet'!E132,'Code Options'!$A$1:$R$7,12)</f>
        <v>anglers</v>
      </c>
    </row>
    <row r="133" spans="1:26" x14ac:dyDescent="0.2">
      <c r="A133">
        <f t="shared" ca="1" si="22"/>
        <v>5</v>
      </c>
      <c r="B133" t="str">
        <f ca="1">VLOOKUP('Master Sheet'!A133,'Code Options'!$A$1:$B$7,2)</f>
        <v>Rock</v>
      </c>
      <c r="C133">
        <f t="shared" ca="1" si="23"/>
        <v>2</v>
      </c>
      <c r="D133" t="str">
        <f ca="1">VLOOKUP('Master Sheet'!C133,'Code Options'!$A$1:$R$7,3)</f>
        <v>Pro</v>
      </c>
      <c r="E133">
        <f t="shared" ca="1" si="24"/>
        <v>1</v>
      </c>
      <c r="F133" t="str">
        <f ca="1">VLOOKUP('Master Sheet'!E133,'Code Options'!$A$1:$R$7,4)</f>
        <v>Will</v>
      </c>
      <c r="G133">
        <f t="shared" ca="1" si="25"/>
        <v>3</v>
      </c>
      <c r="H133" t="str">
        <f ca="1">VLOOKUP('Master Sheet'!E133,'Code Options'!$A$1:$R$7,5)</f>
        <v>Will</v>
      </c>
      <c r="I133">
        <f t="shared" ca="1" si="26"/>
        <v>2</v>
      </c>
      <c r="J133" t="str">
        <f ca="1">VLOOKUP('Master Sheet'!G133,'Code Options'!$A$1:$R$7,6)</f>
        <v>Regional</v>
      </c>
      <c r="K133">
        <f t="shared" ca="1" si="27"/>
        <v>3</v>
      </c>
      <c r="L133" t="str">
        <f ca="1">VLOOKUP('Master Sheet'!I133,'Code Options'!$A$1:$R$7,7)</f>
        <v>Production</v>
      </c>
      <c r="M133">
        <f t="shared" ca="1" si="28"/>
        <v>3</v>
      </c>
      <c r="N133" t="str">
        <f ca="1">VLOOKUP('Master Sheet'!K133,'Code Options'!$A$1:$R$7,8)</f>
        <v>Rec.Fish.Mngmt</v>
      </c>
      <c r="O133">
        <f t="shared" ca="1" si="29"/>
        <v>2</v>
      </c>
      <c r="P133" t="str">
        <f ca="1">VLOOKUP('Master Sheet'!E133,'Code Options'!$A$1:$R$7,9)</f>
        <v>State_Code</v>
      </c>
      <c r="Q133" cm="1">
        <f t="array" aca="1" ref="Q133" ca="1">_xlfn.IFS(P133 ="State_Plan", RANDBETWEEN(1,23), P133 ="State_Code", RANDBETWEEN(1,23), P133 = "Fed_Code", 99, P133 = "Summ_Article", 999, P133 = "Guide", 999)</f>
        <v>3</v>
      </c>
      <c r="R133" t="str">
        <f ca="1">VLOOKUP(Q133,'States and Locations'!$A$1:$B$26,2)</f>
        <v>Massachussetts</v>
      </c>
      <c r="S133">
        <f ca="1">VLOOKUP(Q133,'States and Locations'!$A$1:$D$26,3)</f>
        <v>42.4</v>
      </c>
      <c r="T133">
        <f ca="1">VLOOKUP(Q133,'States and Locations'!$A$1:$D$26,4)</f>
        <v>-71.383300000000006</v>
      </c>
      <c r="U133">
        <f t="shared" ca="1" si="30"/>
        <v>5</v>
      </c>
      <c r="V133" t="str">
        <f ca="1">VLOOKUP('Master Sheet'!E133,'Code Options'!$A$1:$R$7,10)</f>
        <v>Hab_enhancement</v>
      </c>
      <c r="W133">
        <f t="shared" ca="1" si="31"/>
        <v>1</v>
      </c>
      <c r="X133" t="str">
        <f ca="1">VLOOKUP('Master Sheet'!E133,'Code Options'!$A$1:$R$7,11)</f>
        <v>Rec_Fish</v>
      </c>
      <c r="Y133">
        <f t="shared" ca="1" si="32"/>
        <v>2</v>
      </c>
      <c r="Z133" t="str">
        <f ca="1">VLOOKUP('Master Sheet'!E133,'Code Options'!$A$1:$R$7,12)</f>
        <v>AR_proj_plan_mngrs</v>
      </c>
    </row>
    <row r="134" spans="1:26" x14ac:dyDescent="0.2">
      <c r="A134">
        <f t="shared" ca="1" si="22"/>
        <v>6</v>
      </c>
      <c r="B134" t="str">
        <f ca="1">VLOOKUP('Master Sheet'!A134,'Code Options'!$A$1:$B$7,2)</f>
        <v>Tires/Rubber</v>
      </c>
      <c r="C134">
        <f t="shared" ca="1" si="23"/>
        <v>3</v>
      </c>
      <c r="D134" t="str">
        <f ca="1">VLOOKUP('Master Sheet'!C134,'Code Options'!$A$1:$R$7,3)</f>
        <v>Unsure</v>
      </c>
      <c r="E134">
        <f t="shared" ca="1" si="24"/>
        <v>2</v>
      </c>
      <c r="F134" t="str">
        <f ca="1">VLOOKUP('Master Sheet'!E134,'Code Options'!$A$1:$R$7,4)</f>
        <v>Cyndi</v>
      </c>
      <c r="G134">
        <f t="shared" ca="1" si="25"/>
        <v>1</v>
      </c>
      <c r="H134" t="str">
        <f ca="1">VLOOKUP('Master Sheet'!E134,'Code Options'!$A$1:$R$7,5)</f>
        <v>Cyndi</v>
      </c>
      <c r="I134">
        <f t="shared" ca="1" si="26"/>
        <v>3</v>
      </c>
      <c r="J134" t="str">
        <f ca="1">VLOOKUP('Master Sheet'!G134,'Code Options'!$A$1:$R$7,6)</f>
        <v>County/Local</v>
      </c>
      <c r="K134">
        <f t="shared" ca="1" si="27"/>
        <v>1</v>
      </c>
      <c r="L134" t="str">
        <f ca="1">VLOOKUP('Master Sheet'!I134,'Code Options'!$A$1:$R$7,7)</f>
        <v>Aggregation</v>
      </c>
      <c r="M134">
        <f t="shared" ca="1" si="28"/>
        <v>3</v>
      </c>
      <c r="N134" t="str">
        <f ca="1">VLOOKUP('Master Sheet'!K134,'Code Options'!$A$1:$R$7,8)</f>
        <v>Fish.Enhancement</v>
      </c>
      <c r="O134">
        <f t="shared" ca="1" si="29"/>
        <v>5</v>
      </c>
      <c r="P134" t="str">
        <f ca="1">VLOOKUP('Master Sheet'!E134,'Code Options'!$A$1:$R$7,9)</f>
        <v>Fed_Code</v>
      </c>
      <c r="Q134" cm="1">
        <f t="array" aca="1" ref="Q134" ca="1">_xlfn.IFS(P134 ="State_Plan", RANDBETWEEN(1,23), P134 ="State_Code", RANDBETWEEN(1,23), P134 = "Fed_Code", 99, P134 = "Summ_Article", 999, P134 = "Guide", 999)</f>
        <v>99</v>
      </c>
      <c r="R134" t="str">
        <f ca="1">VLOOKUP(Q134,'States and Locations'!$A$1:$B$26,2)</f>
        <v>National</v>
      </c>
      <c r="S134">
        <f ca="1">VLOOKUP(Q134,'States and Locations'!$A$1:$D$26,3)</f>
        <v>39.833300000000001</v>
      </c>
      <c r="T134">
        <f ca="1">VLOOKUP(Q134,'States and Locations'!$A$1:$D$26,4)</f>
        <v>-98.583299999999994</v>
      </c>
      <c r="U134">
        <f t="shared" ca="1" si="30"/>
        <v>5</v>
      </c>
      <c r="V134" t="str">
        <f ca="1">VLOOKUP('Master Sheet'!E134,'Code Options'!$A$1:$R$7,10)</f>
        <v>Disposal</v>
      </c>
      <c r="W134">
        <f t="shared" ca="1" si="31"/>
        <v>4</v>
      </c>
      <c r="X134" t="str">
        <f ca="1">VLOOKUP('Master Sheet'!E134,'Code Options'!$A$1:$R$7,11)</f>
        <v>Comm_Fish</v>
      </c>
      <c r="Y134">
        <f t="shared" ca="1" si="32"/>
        <v>2</v>
      </c>
      <c r="Z134" t="str">
        <f ca="1">VLOOKUP('Master Sheet'!E134,'Code Options'!$A$1:$R$7,12)</f>
        <v>AS_constructors</v>
      </c>
    </row>
    <row r="135" spans="1:26" x14ac:dyDescent="0.2">
      <c r="A135">
        <f t="shared" ca="1" si="22"/>
        <v>2</v>
      </c>
      <c r="B135" t="str">
        <f ca="1">VLOOKUP('Master Sheet'!A135,'Code Options'!$A$1:$B$7,2)</f>
        <v>Concrete</v>
      </c>
      <c r="C135">
        <f t="shared" ca="1" si="23"/>
        <v>3</v>
      </c>
      <c r="D135" t="str">
        <f ca="1">VLOOKUP('Master Sheet'!C135,'Code Options'!$A$1:$R$7,3)</f>
        <v>Unsure</v>
      </c>
      <c r="E135">
        <f t="shared" ca="1" si="24"/>
        <v>4</v>
      </c>
      <c r="F135" t="str">
        <f ca="1">VLOOKUP('Master Sheet'!E135,'Code Options'!$A$1:$R$7,4)</f>
        <v>LM</v>
      </c>
      <c r="G135">
        <f t="shared" ca="1" si="25"/>
        <v>2</v>
      </c>
      <c r="H135">
        <f ca="1">VLOOKUP('Master Sheet'!E135,'Code Options'!$A$1:$R$7,5)</f>
        <v>0</v>
      </c>
      <c r="I135">
        <f t="shared" ca="1" si="26"/>
        <v>3</v>
      </c>
      <c r="J135" t="str">
        <f ca="1">VLOOKUP('Master Sheet'!G135,'Code Options'!$A$1:$R$7,6)</f>
        <v>State</v>
      </c>
      <c r="K135">
        <f t="shared" ca="1" si="27"/>
        <v>3</v>
      </c>
      <c r="L135" t="str">
        <f ca="1">VLOOKUP('Master Sheet'!I135,'Code Options'!$A$1:$R$7,7)</f>
        <v>Aggregation</v>
      </c>
      <c r="M135">
        <f t="shared" ca="1" si="28"/>
        <v>5</v>
      </c>
      <c r="N135" t="str">
        <f ca="1">VLOOKUP('Master Sheet'!K135,'Code Options'!$A$1:$R$7,8)</f>
        <v>Rec.Fish.Mngmt</v>
      </c>
      <c r="O135">
        <f t="shared" ca="1" si="29"/>
        <v>2</v>
      </c>
      <c r="P135" t="str">
        <f ca="1">VLOOKUP('Master Sheet'!E135,'Code Options'!$A$1:$R$7,9)</f>
        <v>Summ_Article</v>
      </c>
      <c r="Q135" cm="1">
        <f t="array" aca="1" ref="Q135" ca="1">_xlfn.IFS(P135 ="State_Plan", RANDBETWEEN(1,23), P135 ="State_Code", RANDBETWEEN(1,23), P135 = "Fed_Code", 99, P135 = "Summ_Article", 999, P135 = "Guide", 999)</f>
        <v>999</v>
      </c>
      <c r="R135" t="str">
        <f ca="1">VLOOKUP(Q135,'States and Locations'!$A$1:$B$26,2)</f>
        <v>UNK</v>
      </c>
      <c r="S135">
        <f ca="1">VLOOKUP(Q135,'States and Locations'!$A$1:$D$26,3)</f>
        <v>25</v>
      </c>
      <c r="T135">
        <f ca="1">VLOOKUP(Q135,'States and Locations'!$A$1:$D$26,4)</f>
        <v>-90</v>
      </c>
      <c r="U135">
        <f t="shared" ca="1" si="30"/>
        <v>4</v>
      </c>
      <c r="V135" t="str">
        <f ca="1">VLOOKUP('Master Sheet'!E135,'Code Options'!$A$1:$R$7,10)</f>
        <v>Hab_restoration</v>
      </c>
      <c r="W135">
        <f t="shared" ca="1" si="31"/>
        <v>5</v>
      </c>
      <c r="X135" t="str">
        <f ca="1">VLOOKUP('Master Sheet'!E135,'Code Options'!$A$1:$R$7,11)</f>
        <v>Non-Fish_rec</v>
      </c>
      <c r="Y135">
        <f t="shared" ca="1" si="32"/>
        <v>4</v>
      </c>
      <c r="Z135" t="str">
        <f ca="1">VLOOKUP('Master Sheet'!E135,'Code Options'!$A$1:$R$7,12)</f>
        <v>people_interested</v>
      </c>
    </row>
    <row r="136" spans="1:26" x14ac:dyDescent="0.2">
      <c r="A136">
        <f t="shared" ca="1" si="22"/>
        <v>1</v>
      </c>
      <c r="B136" t="str">
        <f ca="1">VLOOKUP('Master Sheet'!A136,'Code Options'!$A$1:$B$7,2)</f>
        <v>Composite</v>
      </c>
      <c r="C136">
        <f t="shared" ca="1" si="23"/>
        <v>2</v>
      </c>
      <c r="D136" t="str">
        <f ca="1">VLOOKUP('Master Sheet'!C136,'Code Options'!$A$1:$R$7,3)</f>
        <v>Pro</v>
      </c>
      <c r="E136">
        <f t="shared" ca="1" si="24"/>
        <v>4</v>
      </c>
      <c r="F136" t="str">
        <f ca="1">VLOOKUP('Master Sheet'!E136,'Code Options'!$A$1:$R$7,4)</f>
        <v>LM</v>
      </c>
      <c r="G136">
        <f t="shared" ca="1" si="25"/>
        <v>3</v>
      </c>
      <c r="H136">
        <f ca="1">VLOOKUP('Master Sheet'!E136,'Code Options'!$A$1:$R$7,5)</f>
        <v>0</v>
      </c>
      <c r="I136">
        <f t="shared" ca="1" si="26"/>
        <v>3</v>
      </c>
      <c r="J136" t="str">
        <f ca="1">VLOOKUP('Master Sheet'!G136,'Code Options'!$A$1:$R$7,6)</f>
        <v>Regional</v>
      </c>
      <c r="K136">
        <f t="shared" ca="1" si="27"/>
        <v>2</v>
      </c>
      <c r="L136" t="str">
        <f ca="1">VLOOKUP('Master Sheet'!I136,'Code Options'!$A$1:$R$7,7)</f>
        <v>Aggregation</v>
      </c>
      <c r="M136">
        <f t="shared" ca="1" si="28"/>
        <v>1</v>
      </c>
      <c r="N136" t="str">
        <f ca="1">VLOOKUP('Master Sheet'!K136,'Code Options'!$A$1:$R$7,8)</f>
        <v>Comm.Fish.Mngmt</v>
      </c>
      <c r="O136">
        <f t="shared" ca="1" si="29"/>
        <v>4</v>
      </c>
      <c r="P136" t="str">
        <f ca="1">VLOOKUP('Master Sheet'!E136,'Code Options'!$A$1:$R$7,9)</f>
        <v>Summ_Article</v>
      </c>
      <c r="Q136" cm="1">
        <f t="array" aca="1" ref="Q136" ca="1">_xlfn.IFS(P136 ="State_Plan", RANDBETWEEN(1,23), P136 ="State_Code", RANDBETWEEN(1,23), P136 = "Fed_Code", 99, P136 = "Summ_Article", 999, P136 = "Guide", 999)</f>
        <v>999</v>
      </c>
      <c r="R136" t="str">
        <f ca="1">VLOOKUP(Q136,'States and Locations'!$A$1:$B$26,2)</f>
        <v>UNK</v>
      </c>
      <c r="S136">
        <f ca="1">VLOOKUP(Q136,'States and Locations'!$A$1:$D$26,3)</f>
        <v>25</v>
      </c>
      <c r="T136">
        <f ca="1">VLOOKUP(Q136,'States and Locations'!$A$1:$D$26,4)</f>
        <v>-90</v>
      </c>
      <c r="U136">
        <f t="shared" ca="1" si="30"/>
        <v>5</v>
      </c>
      <c r="V136" t="str">
        <f ca="1">VLOOKUP('Master Sheet'!E136,'Code Options'!$A$1:$R$7,10)</f>
        <v>Hab_restoration</v>
      </c>
      <c r="W136">
        <f t="shared" ca="1" si="31"/>
        <v>4</v>
      </c>
      <c r="X136" t="str">
        <f ca="1">VLOOKUP('Master Sheet'!E136,'Code Options'!$A$1:$R$7,11)</f>
        <v>Non-Fish_rec</v>
      </c>
      <c r="Y136">
        <f t="shared" ca="1" si="32"/>
        <v>1</v>
      </c>
      <c r="Z136" t="str">
        <f ca="1">VLOOKUP('Master Sheet'!E136,'Code Options'!$A$1:$R$7,12)</f>
        <v>people_interested</v>
      </c>
    </row>
    <row r="137" spans="1:26" x14ac:dyDescent="0.2">
      <c r="A137">
        <f t="shared" ca="1" si="22"/>
        <v>6</v>
      </c>
      <c r="B137" t="str">
        <f ca="1">VLOOKUP('Master Sheet'!A137,'Code Options'!$A$1:$B$7,2)</f>
        <v>Tires/Rubber</v>
      </c>
      <c r="C137">
        <f t="shared" ca="1" si="23"/>
        <v>3</v>
      </c>
      <c r="D137" t="str">
        <f ca="1">VLOOKUP('Master Sheet'!C137,'Code Options'!$A$1:$R$7,3)</f>
        <v>Unsure</v>
      </c>
      <c r="E137">
        <f t="shared" ca="1" si="24"/>
        <v>4</v>
      </c>
      <c r="F137" t="str">
        <f ca="1">VLOOKUP('Master Sheet'!E137,'Code Options'!$A$1:$R$7,4)</f>
        <v>LM</v>
      </c>
      <c r="G137">
        <f t="shared" ca="1" si="25"/>
        <v>2</v>
      </c>
      <c r="H137">
        <f ca="1">VLOOKUP('Master Sheet'!E137,'Code Options'!$A$1:$R$7,5)</f>
        <v>0</v>
      </c>
      <c r="I137">
        <f t="shared" ca="1" si="26"/>
        <v>4</v>
      </c>
      <c r="J137" t="str">
        <f ca="1">VLOOKUP('Master Sheet'!G137,'Code Options'!$A$1:$R$7,6)</f>
        <v>State</v>
      </c>
      <c r="K137">
        <f t="shared" ca="1" si="27"/>
        <v>2</v>
      </c>
      <c r="L137" t="str">
        <f ca="1">VLOOKUP('Master Sheet'!I137,'Code Options'!$A$1:$R$7,7)</f>
        <v>Biodiversity</v>
      </c>
      <c r="M137">
        <f t="shared" ca="1" si="28"/>
        <v>1</v>
      </c>
      <c r="N137" t="str">
        <f ca="1">VLOOKUP('Master Sheet'!K137,'Code Options'!$A$1:$R$7,8)</f>
        <v>Comm.Fish.Mngmt</v>
      </c>
      <c r="O137">
        <f t="shared" ca="1" si="29"/>
        <v>1</v>
      </c>
      <c r="P137" t="str">
        <f ca="1">VLOOKUP('Master Sheet'!E137,'Code Options'!$A$1:$R$7,9)</f>
        <v>Summ_Article</v>
      </c>
      <c r="Q137" cm="1">
        <f t="array" aca="1" ref="Q137" ca="1">_xlfn.IFS(P137 ="State_Plan", RANDBETWEEN(1,23), P137 ="State_Code", RANDBETWEEN(1,23), P137 = "Fed_Code", 99, P137 = "Summ_Article", 999, P137 = "Guide", 999)</f>
        <v>999</v>
      </c>
      <c r="R137" t="str">
        <f ca="1">VLOOKUP(Q137,'States and Locations'!$A$1:$B$26,2)</f>
        <v>UNK</v>
      </c>
      <c r="S137">
        <f ca="1">VLOOKUP(Q137,'States and Locations'!$A$1:$D$26,3)</f>
        <v>25</v>
      </c>
      <c r="T137">
        <f ca="1">VLOOKUP(Q137,'States and Locations'!$A$1:$D$26,4)</f>
        <v>-90</v>
      </c>
      <c r="U137">
        <f t="shared" ca="1" si="30"/>
        <v>4</v>
      </c>
      <c r="V137" t="str">
        <f ca="1">VLOOKUP('Master Sheet'!E137,'Code Options'!$A$1:$R$7,10)</f>
        <v>Hab_restoration</v>
      </c>
      <c r="W137">
        <f t="shared" ca="1" si="31"/>
        <v>1</v>
      </c>
      <c r="X137" t="str">
        <f ca="1">VLOOKUP('Master Sheet'!E137,'Code Options'!$A$1:$R$7,11)</f>
        <v>Non-Fish_rec</v>
      </c>
      <c r="Y137">
        <f t="shared" ca="1" si="32"/>
        <v>2</v>
      </c>
      <c r="Z137" t="str">
        <f ca="1">VLOOKUP('Master Sheet'!E137,'Code Options'!$A$1:$R$7,12)</f>
        <v>people_interested</v>
      </c>
    </row>
    <row r="138" spans="1:26" x14ac:dyDescent="0.2">
      <c r="A138">
        <f t="shared" ca="1" si="22"/>
        <v>1</v>
      </c>
      <c r="B138" t="str">
        <f ca="1">VLOOKUP('Master Sheet'!A138,'Code Options'!$A$1:$B$7,2)</f>
        <v>Composite</v>
      </c>
      <c r="C138">
        <f t="shared" ca="1" si="23"/>
        <v>2</v>
      </c>
      <c r="D138" t="str">
        <f ca="1">VLOOKUP('Master Sheet'!C138,'Code Options'!$A$1:$R$7,3)</f>
        <v>Pro</v>
      </c>
      <c r="E138">
        <f t="shared" ca="1" si="24"/>
        <v>3</v>
      </c>
      <c r="F138" t="str">
        <f ca="1">VLOOKUP('Master Sheet'!E138,'Code Options'!$A$1:$R$7,4)</f>
        <v>Jon</v>
      </c>
      <c r="G138">
        <f t="shared" ca="1" si="25"/>
        <v>3</v>
      </c>
      <c r="H138" t="str">
        <f ca="1">VLOOKUP('Master Sheet'!E138,'Code Options'!$A$1:$R$7,5)</f>
        <v>Nick</v>
      </c>
      <c r="I138">
        <f t="shared" ca="1" si="26"/>
        <v>4</v>
      </c>
      <c r="J138" t="str">
        <f ca="1">VLOOKUP('Master Sheet'!G138,'Code Options'!$A$1:$R$7,6)</f>
        <v>Regional</v>
      </c>
      <c r="K138">
        <f t="shared" ca="1" si="27"/>
        <v>4</v>
      </c>
      <c r="L138" t="str">
        <f ca="1">VLOOKUP('Master Sheet'!I138,'Code Options'!$A$1:$R$7,7)</f>
        <v>Biodiversity</v>
      </c>
      <c r="M138">
        <f t="shared" ca="1" si="28"/>
        <v>3</v>
      </c>
      <c r="N138" t="str">
        <f ca="1">VLOOKUP('Master Sheet'!K138,'Code Options'!$A$1:$R$7,8)</f>
        <v>Creation of AR Mat</v>
      </c>
      <c r="O138">
        <f t="shared" ca="1" si="29"/>
        <v>4</v>
      </c>
      <c r="P138" t="str">
        <f ca="1">VLOOKUP('Master Sheet'!E138,'Code Options'!$A$1:$R$7,9)</f>
        <v>State_Plan</v>
      </c>
      <c r="Q138" cm="1">
        <f t="array" aca="1" ref="Q138" ca="1">_xlfn.IFS(P138 ="State_Plan", RANDBETWEEN(1,23), P138 ="State_Code", RANDBETWEEN(1,23), P138 = "Fed_Code", 99, P138 = "Summ_Article", 999, P138 = "Guide", 999)</f>
        <v>9</v>
      </c>
      <c r="R138" t="str">
        <f ca="1">VLOOKUP(Q138,'States and Locations'!$A$1:$B$26,2)</f>
        <v>Maryland</v>
      </c>
      <c r="S138">
        <f ca="1">VLOOKUP(Q138,'States and Locations'!$A$1:$D$26,3)</f>
        <v>39.049999999999997</v>
      </c>
      <c r="T138">
        <f ca="1">VLOOKUP(Q138,'States and Locations'!$A$1:$D$26,4)</f>
        <v>-76.633300000000006</v>
      </c>
      <c r="U138">
        <f t="shared" ca="1" si="30"/>
        <v>2</v>
      </c>
      <c r="V138" t="str">
        <f ca="1">VLOOKUP('Master Sheet'!E138,'Code Options'!$A$1:$R$7,10)</f>
        <v>Mitig.</v>
      </c>
      <c r="W138">
        <f t="shared" ca="1" si="31"/>
        <v>4</v>
      </c>
      <c r="X138" t="str">
        <f ca="1">VLOOKUP('Master Sheet'!E138,'Code Options'!$A$1:$R$7,11)</f>
        <v>Chart_Fish</v>
      </c>
      <c r="Y138">
        <f t="shared" ca="1" si="32"/>
        <v>4</v>
      </c>
      <c r="Z138" t="str">
        <f ca="1">VLOOKUP('Master Sheet'!E138,'Code Options'!$A$1:$R$7,12)</f>
        <v>Permit_reg_agencies</v>
      </c>
    </row>
    <row r="139" spans="1:26" x14ac:dyDescent="0.2">
      <c r="A139">
        <f t="shared" ca="1" si="22"/>
        <v>1</v>
      </c>
      <c r="B139" t="str">
        <f ca="1">VLOOKUP('Master Sheet'!A139,'Code Options'!$A$1:$B$7,2)</f>
        <v>Composite</v>
      </c>
      <c r="C139">
        <f t="shared" ca="1" si="23"/>
        <v>1</v>
      </c>
      <c r="D139" t="str">
        <f ca="1">VLOOKUP('Master Sheet'!C139,'Code Options'!$A$1:$R$7,3)</f>
        <v>Retro</v>
      </c>
      <c r="E139">
        <f t="shared" ca="1" si="24"/>
        <v>3</v>
      </c>
      <c r="F139" t="str">
        <f ca="1">VLOOKUP('Master Sheet'!E139,'Code Options'!$A$1:$R$7,4)</f>
        <v>Jon</v>
      </c>
      <c r="G139">
        <f t="shared" ca="1" si="25"/>
        <v>2</v>
      </c>
      <c r="H139" t="str">
        <f ca="1">VLOOKUP('Master Sheet'!E139,'Code Options'!$A$1:$R$7,5)</f>
        <v>Nick</v>
      </c>
      <c r="I139">
        <f t="shared" ca="1" si="26"/>
        <v>1</v>
      </c>
      <c r="J139" t="str">
        <f ca="1">VLOOKUP('Master Sheet'!G139,'Code Options'!$A$1:$R$7,6)</f>
        <v>State</v>
      </c>
      <c r="K139">
        <f t="shared" ca="1" si="27"/>
        <v>3</v>
      </c>
      <c r="L139" t="str">
        <f ca="1">VLOOKUP('Master Sheet'!I139,'Code Options'!$A$1:$R$7,7)</f>
        <v>Habitat</v>
      </c>
      <c r="M139">
        <f t="shared" ca="1" si="28"/>
        <v>1</v>
      </c>
      <c r="N139" t="str">
        <f ca="1">VLOOKUP('Master Sheet'!K139,'Code Options'!$A$1:$R$7,8)</f>
        <v>Rec.Fish.Mngmt</v>
      </c>
      <c r="O139">
        <f t="shared" ca="1" si="29"/>
        <v>3</v>
      </c>
      <c r="P139" t="str">
        <f ca="1">VLOOKUP('Master Sheet'!E139,'Code Options'!$A$1:$R$7,9)</f>
        <v>State_Plan</v>
      </c>
      <c r="Q139" cm="1">
        <f t="array" aca="1" ref="Q139" ca="1">_xlfn.IFS(P139 ="State_Plan", RANDBETWEEN(1,23), P139 ="State_Code", RANDBETWEEN(1,23), P139 = "Fed_Code", 99, P139 = "Summ_Article", 999, P139 = "Guide", 999)</f>
        <v>13</v>
      </c>
      <c r="R139" t="str">
        <f ca="1">VLOOKUP(Q139,'States and Locations'!$A$1:$B$26,2)</f>
        <v>Georgia</v>
      </c>
      <c r="S139">
        <f ca="1">VLOOKUP(Q139,'States and Locations'!$A$1:$D$26,3)</f>
        <v>32.716700000000003</v>
      </c>
      <c r="T139">
        <f ca="1">VLOOKUP(Q139,'States and Locations'!$A$1:$D$26,4)</f>
        <v>-83.5</v>
      </c>
      <c r="U139">
        <f t="shared" ca="1" si="30"/>
        <v>2</v>
      </c>
      <c r="V139" t="str">
        <f ca="1">VLOOKUP('Master Sheet'!E139,'Code Options'!$A$1:$R$7,10)</f>
        <v>Mitig.</v>
      </c>
      <c r="W139">
        <f t="shared" ca="1" si="31"/>
        <v>4</v>
      </c>
      <c r="X139" t="str">
        <f ca="1">VLOOKUP('Master Sheet'!E139,'Code Options'!$A$1:$R$7,11)</f>
        <v>Chart_Fish</v>
      </c>
      <c r="Y139">
        <f t="shared" ca="1" si="32"/>
        <v>4</v>
      </c>
      <c r="Z139" t="str">
        <f ca="1">VLOOKUP('Master Sheet'!E139,'Code Options'!$A$1:$R$7,12)</f>
        <v>Permit_reg_agencies</v>
      </c>
    </row>
    <row r="140" spans="1:26" x14ac:dyDescent="0.2">
      <c r="A140">
        <f t="shared" ca="1" si="22"/>
        <v>3</v>
      </c>
      <c r="B140" t="str">
        <f ca="1">VLOOKUP('Master Sheet'!A140,'Code Options'!$A$1:$B$7,2)</f>
        <v>Metal</v>
      </c>
      <c r="C140">
        <f t="shared" ca="1" si="23"/>
        <v>2</v>
      </c>
      <c r="D140" t="str">
        <f ca="1">VLOOKUP('Master Sheet'!C140,'Code Options'!$A$1:$R$7,3)</f>
        <v>Pro</v>
      </c>
      <c r="E140">
        <f t="shared" ca="1" si="24"/>
        <v>5</v>
      </c>
      <c r="F140" t="str">
        <f ca="1">VLOOKUP('Master Sheet'!E140,'Code Options'!$A$1:$R$7,4)</f>
        <v>Nick</v>
      </c>
      <c r="G140">
        <f t="shared" ca="1" si="25"/>
        <v>3</v>
      </c>
      <c r="H140">
        <f ca="1">VLOOKUP('Master Sheet'!E140,'Code Options'!$A$1:$R$7,5)</f>
        <v>0</v>
      </c>
      <c r="I140">
        <f t="shared" ca="1" si="26"/>
        <v>2</v>
      </c>
      <c r="J140" t="str">
        <f ca="1">VLOOKUP('Master Sheet'!G140,'Code Options'!$A$1:$R$7,6)</f>
        <v>Regional</v>
      </c>
      <c r="K140">
        <f t="shared" ca="1" si="27"/>
        <v>4</v>
      </c>
      <c r="L140" t="str">
        <f ca="1">VLOOKUP('Master Sheet'!I140,'Code Options'!$A$1:$R$7,7)</f>
        <v>Production</v>
      </c>
      <c r="M140">
        <f t="shared" ca="1" si="28"/>
        <v>1</v>
      </c>
      <c r="N140" t="str">
        <f ca="1">VLOOKUP('Master Sheet'!K140,'Code Options'!$A$1:$R$7,8)</f>
        <v>Creation of AR Mat</v>
      </c>
      <c r="O140">
        <f t="shared" ca="1" si="29"/>
        <v>4</v>
      </c>
      <c r="P140" t="str">
        <f ca="1">VLOOKUP('Master Sheet'!E140,'Code Options'!$A$1:$R$7,9)</f>
        <v>Guide</v>
      </c>
      <c r="Q140" cm="1">
        <f t="array" aca="1" ref="Q140" ca="1">_xlfn.IFS(P140 ="State_Plan", RANDBETWEEN(1,23), P140 ="State_Code", RANDBETWEEN(1,23), P140 = "Fed_Code", 99, P140 = "Summ_Article", 999, P140 = "Guide", 999)</f>
        <v>999</v>
      </c>
      <c r="R140" t="str">
        <f ca="1">VLOOKUP(Q140,'States and Locations'!$A$1:$B$26,2)</f>
        <v>UNK</v>
      </c>
      <c r="S140">
        <f ca="1">VLOOKUP(Q140,'States and Locations'!$A$1:$D$26,3)</f>
        <v>25</v>
      </c>
      <c r="T140">
        <f ca="1">VLOOKUP(Q140,'States and Locations'!$A$1:$D$26,4)</f>
        <v>-90</v>
      </c>
      <c r="U140">
        <f t="shared" ca="1" si="30"/>
        <v>3</v>
      </c>
      <c r="V140" t="str">
        <f ca="1">VLOOKUP('Master Sheet'!E140,'Code Options'!$A$1:$R$7,10)</f>
        <v>Wave_attenuation</v>
      </c>
      <c r="W140">
        <f t="shared" ca="1" si="31"/>
        <v>1</v>
      </c>
      <c r="X140" t="str">
        <f ca="1">VLOOKUP('Master Sheet'!E140,'Code Options'!$A$1:$R$7,11)</f>
        <v>Scuba</v>
      </c>
      <c r="Y140">
        <f t="shared" ca="1" si="32"/>
        <v>4</v>
      </c>
      <c r="Z140" t="str">
        <f ca="1">VLOOKUP('Master Sheet'!E140,'Code Options'!$A$1:$R$7,12)</f>
        <v>anglers</v>
      </c>
    </row>
    <row r="141" spans="1:26" x14ac:dyDescent="0.2">
      <c r="A141">
        <f t="shared" ca="1" si="22"/>
        <v>6</v>
      </c>
      <c r="B141" t="str">
        <f ca="1">VLOOKUP('Master Sheet'!A141,'Code Options'!$A$1:$B$7,2)</f>
        <v>Tires/Rubber</v>
      </c>
      <c r="C141">
        <f t="shared" ca="1" si="23"/>
        <v>1</v>
      </c>
      <c r="D141" t="str">
        <f ca="1">VLOOKUP('Master Sheet'!C141,'Code Options'!$A$1:$R$7,3)</f>
        <v>Retro</v>
      </c>
      <c r="E141">
        <f t="shared" ca="1" si="24"/>
        <v>4</v>
      </c>
      <c r="F141" t="str">
        <f ca="1">VLOOKUP('Master Sheet'!E141,'Code Options'!$A$1:$R$7,4)</f>
        <v>LM</v>
      </c>
      <c r="G141">
        <f t="shared" ca="1" si="25"/>
        <v>3</v>
      </c>
      <c r="H141">
        <f ca="1">VLOOKUP('Master Sheet'!E141,'Code Options'!$A$1:$R$7,5)</f>
        <v>0</v>
      </c>
      <c r="I141">
        <f t="shared" ca="1" si="26"/>
        <v>2</v>
      </c>
      <c r="J141" t="str">
        <f ca="1">VLOOKUP('Master Sheet'!G141,'Code Options'!$A$1:$R$7,6)</f>
        <v>Regional</v>
      </c>
      <c r="K141">
        <f t="shared" ca="1" si="27"/>
        <v>4</v>
      </c>
      <c r="L141" t="str">
        <f ca="1">VLOOKUP('Master Sheet'!I141,'Code Options'!$A$1:$R$7,7)</f>
        <v>Production</v>
      </c>
      <c r="M141">
        <f t="shared" ca="1" si="28"/>
        <v>3</v>
      </c>
      <c r="N141" t="str">
        <f ca="1">VLOOKUP('Master Sheet'!K141,'Code Options'!$A$1:$R$7,8)</f>
        <v>Creation of AR Mat</v>
      </c>
      <c r="O141">
        <f t="shared" ca="1" si="29"/>
        <v>2</v>
      </c>
      <c r="P141" t="str">
        <f ca="1">VLOOKUP('Master Sheet'!E141,'Code Options'!$A$1:$R$7,9)</f>
        <v>Summ_Article</v>
      </c>
      <c r="Q141" cm="1">
        <f t="array" aca="1" ref="Q141" ca="1">_xlfn.IFS(P141 ="State_Plan", RANDBETWEEN(1,23), P141 ="State_Code", RANDBETWEEN(1,23), P141 = "Fed_Code", 99, P141 = "Summ_Article", 999, P141 = "Guide", 999)</f>
        <v>999</v>
      </c>
      <c r="R141" t="str">
        <f ca="1">VLOOKUP(Q141,'States and Locations'!$A$1:$B$26,2)</f>
        <v>UNK</v>
      </c>
      <c r="S141">
        <f ca="1">VLOOKUP(Q141,'States and Locations'!$A$1:$D$26,3)</f>
        <v>25</v>
      </c>
      <c r="T141">
        <f ca="1">VLOOKUP(Q141,'States and Locations'!$A$1:$D$26,4)</f>
        <v>-90</v>
      </c>
      <c r="U141">
        <f t="shared" ca="1" si="30"/>
        <v>1</v>
      </c>
      <c r="V141" t="str">
        <f ca="1">VLOOKUP('Master Sheet'!E141,'Code Options'!$A$1:$R$7,10)</f>
        <v>Hab_restoration</v>
      </c>
      <c r="W141">
        <f t="shared" ca="1" si="31"/>
        <v>1</v>
      </c>
      <c r="X141" t="str">
        <f ca="1">VLOOKUP('Master Sheet'!E141,'Code Options'!$A$1:$R$7,11)</f>
        <v>Non-Fish_rec</v>
      </c>
      <c r="Y141">
        <f t="shared" ca="1" si="32"/>
        <v>2</v>
      </c>
      <c r="Z141" t="str">
        <f ca="1">VLOOKUP('Master Sheet'!E141,'Code Options'!$A$1:$R$7,12)</f>
        <v>people_interested</v>
      </c>
    </row>
    <row r="142" spans="1:26" x14ac:dyDescent="0.2">
      <c r="A142">
        <f t="shared" ca="1" si="22"/>
        <v>5</v>
      </c>
      <c r="B142" t="str">
        <f ca="1">VLOOKUP('Master Sheet'!A142,'Code Options'!$A$1:$B$7,2)</f>
        <v>Rock</v>
      </c>
      <c r="C142">
        <f t="shared" ca="1" si="23"/>
        <v>3</v>
      </c>
      <c r="D142" t="str">
        <f ca="1">VLOOKUP('Master Sheet'!C142,'Code Options'!$A$1:$R$7,3)</f>
        <v>Unsure</v>
      </c>
      <c r="E142">
        <f t="shared" ca="1" si="24"/>
        <v>1</v>
      </c>
      <c r="F142" t="str">
        <f ca="1">VLOOKUP('Master Sheet'!E142,'Code Options'!$A$1:$R$7,4)</f>
        <v>Will</v>
      </c>
      <c r="G142">
        <f t="shared" ca="1" si="25"/>
        <v>2</v>
      </c>
      <c r="H142" t="str">
        <f ca="1">VLOOKUP('Master Sheet'!E142,'Code Options'!$A$1:$R$7,5)</f>
        <v>Will</v>
      </c>
      <c r="I142">
        <f t="shared" ca="1" si="26"/>
        <v>1</v>
      </c>
      <c r="J142" t="str">
        <f ca="1">VLOOKUP('Master Sheet'!G142,'Code Options'!$A$1:$R$7,6)</f>
        <v>State</v>
      </c>
      <c r="K142">
        <f t="shared" ca="1" si="27"/>
        <v>1</v>
      </c>
      <c r="L142" t="str">
        <f ca="1">VLOOKUP('Master Sheet'!I142,'Code Options'!$A$1:$R$7,7)</f>
        <v>Habitat</v>
      </c>
      <c r="M142">
        <f t="shared" ca="1" si="28"/>
        <v>4</v>
      </c>
      <c r="N142" t="str">
        <f ca="1">VLOOKUP('Master Sheet'!K142,'Code Options'!$A$1:$R$7,8)</f>
        <v>Fish.Enhancement</v>
      </c>
      <c r="O142">
        <f t="shared" ca="1" si="29"/>
        <v>1</v>
      </c>
      <c r="P142" t="str">
        <f ca="1">VLOOKUP('Master Sheet'!E142,'Code Options'!$A$1:$R$7,9)</f>
        <v>State_Code</v>
      </c>
      <c r="Q142" cm="1">
        <f t="array" aca="1" ref="Q142" ca="1">_xlfn.IFS(P142 ="State_Plan", RANDBETWEEN(1,23), P142 ="State_Code", RANDBETWEEN(1,23), P142 = "Fed_Code", 99, P142 = "Summ_Article", 999, P142 = "Guide", 999)</f>
        <v>8</v>
      </c>
      <c r="R142" t="str">
        <f ca="1">VLOOKUP(Q142,'States and Locations'!$A$1:$B$26,2)</f>
        <v>Delaware</v>
      </c>
      <c r="S142">
        <f ca="1">VLOOKUP(Q142,'States and Locations'!$A$1:$D$26,3)</f>
        <v>38.9833</v>
      </c>
      <c r="T142">
        <f ca="1">VLOOKUP(Q142,'States and Locations'!$A$1:$D$26,4)</f>
        <v>-75.5167</v>
      </c>
      <c r="U142">
        <f t="shared" ca="1" si="30"/>
        <v>3</v>
      </c>
      <c r="V142" t="str">
        <f ca="1">VLOOKUP('Master Sheet'!E142,'Code Options'!$A$1:$R$7,10)</f>
        <v>Hab_enhancement</v>
      </c>
      <c r="W142">
        <f t="shared" ca="1" si="31"/>
        <v>1</v>
      </c>
      <c r="X142" t="str">
        <f ca="1">VLOOKUP('Master Sheet'!E142,'Code Options'!$A$1:$R$7,11)</f>
        <v>Rec_Fish</v>
      </c>
      <c r="Y142">
        <f t="shared" ca="1" si="32"/>
        <v>1</v>
      </c>
      <c r="Z142" t="str">
        <f ca="1">VLOOKUP('Master Sheet'!E142,'Code Options'!$A$1:$R$7,12)</f>
        <v>AR_proj_plan_mngrs</v>
      </c>
    </row>
    <row r="143" spans="1:26" x14ac:dyDescent="0.2">
      <c r="A143">
        <f t="shared" ca="1" si="22"/>
        <v>5</v>
      </c>
      <c r="B143" t="str">
        <f ca="1">VLOOKUP('Master Sheet'!A143,'Code Options'!$A$1:$B$7,2)</f>
        <v>Rock</v>
      </c>
      <c r="C143">
        <f t="shared" ca="1" si="23"/>
        <v>3</v>
      </c>
      <c r="D143" t="str">
        <f ca="1">VLOOKUP('Master Sheet'!C143,'Code Options'!$A$1:$R$7,3)</f>
        <v>Unsure</v>
      </c>
      <c r="E143">
        <f t="shared" ca="1" si="24"/>
        <v>4</v>
      </c>
      <c r="F143" t="str">
        <f ca="1">VLOOKUP('Master Sheet'!E143,'Code Options'!$A$1:$R$7,4)</f>
        <v>LM</v>
      </c>
      <c r="G143">
        <f t="shared" ca="1" si="25"/>
        <v>3</v>
      </c>
      <c r="H143">
        <f ca="1">VLOOKUP('Master Sheet'!E143,'Code Options'!$A$1:$R$7,5)</f>
        <v>0</v>
      </c>
      <c r="I143">
        <f t="shared" ca="1" si="26"/>
        <v>4</v>
      </c>
      <c r="J143" t="str">
        <f ca="1">VLOOKUP('Master Sheet'!G143,'Code Options'!$A$1:$R$7,6)</f>
        <v>Regional</v>
      </c>
      <c r="K143">
        <f t="shared" ca="1" si="27"/>
        <v>4</v>
      </c>
      <c r="L143" t="str">
        <f ca="1">VLOOKUP('Master Sheet'!I143,'Code Options'!$A$1:$R$7,7)</f>
        <v>Biodiversity</v>
      </c>
      <c r="M143">
        <f t="shared" ca="1" si="28"/>
        <v>4</v>
      </c>
      <c r="N143" t="str">
        <f ca="1">VLOOKUP('Master Sheet'!K143,'Code Options'!$A$1:$R$7,8)</f>
        <v>Creation of AR Mat</v>
      </c>
      <c r="O143">
        <f t="shared" ca="1" si="29"/>
        <v>5</v>
      </c>
      <c r="P143" t="str">
        <f ca="1">VLOOKUP('Master Sheet'!E143,'Code Options'!$A$1:$R$7,9)</f>
        <v>Summ_Article</v>
      </c>
      <c r="Q143" cm="1">
        <f t="array" aca="1" ref="Q143" ca="1">_xlfn.IFS(P143 ="State_Plan", RANDBETWEEN(1,23), P143 ="State_Code", RANDBETWEEN(1,23), P143 = "Fed_Code", 99, P143 = "Summ_Article", 999, P143 = "Guide", 999)</f>
        <v>999</v>
      </c>
      <c r="R143" t="str">
        <f ca="1">VLOOKUP(Q143,'States and Locations'!$A$1:$B$26,2)</f>
        <v>UNK</v>
      </c>
      <c r="S143">
        <f ca="1">VLOOKUP(Q143,'States and Locations'!$A$1:$D$26,3)</f>
        <v>25</v>
      </c>
      <c r="T143">
        <f ca="1">VLOOKUP(Q143,'States and Locations'!$A$1:$D$26,4)</f>
        <v>-90</v>
      </c>
      <c r="U143">
        <f t="shared" ca="1" si="30"/>
        <v>2</v>
      </c>
      <c r="V143" t="str">
        <f ca="1">VLOOKUP('Master Sheet'!E143,'Code Options'!$A$1:$R$7,10)</f>
        <v>Hab_restoration</v>
      </c>
      <c r="W143">
        <f t="shared" ca="1" si="31"/>
        <v>3</v>
      </c>
      <c r="X143" t="str">
        <f ca="1">VLOOKUP('Master Sheet'!E143,'Code Options'!$A$1:$R$7,11)</f>
        <v>Non-Fish_rec</v>
      </c>
      <c r="Y143">
        <f t="shared" ca="1" si="32"/>
        <v>5</v>
      </c>
      <c r="Z143" t="str">
        <f ca="1">VLOOKUP('Master Sheet'!E143,'Code Options'!$A$1:$R$7,12)</f>
        <v>people_interested</v>
      </c>
    </row>
    <row r="144" spans="1:26" x14ac:dyDescent="0.2">
      <c r="A144">
        <f t="shared" ca="1" si="22"/>
        <v>4</v>
      </c>
      <c r="B144" t="str">
        <f ca="1">VLOOKUP('Master Sheet'!A144,'Code Options'!$A$1:$B$7,2)</f>
        <v>Other</v>
      </c>
      <c r="C144">
        <f t="shared" ca="1" si="23"/>
        <v>2</v>
      </c>
      <c r="D144" t="str">
        <f ca="1">VLOOKUP('Master Sheet'!C144,'Code Options'!$A$1:$R$7,3)</f>
        <v>Pro</v>
      </c>
      <c r="E144">
        <f t="shared" ca="1" si="24"/>
        <v>2</v>
      </c>
      <c r="F144" t="str">
        <f ca="1">VLOOKUP('Master Sheet'!E144,'Code Options'!$A$1:$R$7,4)</f>
        <v>Cyndi</v>
      </c>
      <c r="G144">
        <f t="shared" ca="1" si="25"/>
        <v>3</v>
      </c>
      <c r="H144" t="str">
        <f ca="1">VLOOKUP('Master Sheet'!E144,'Code Options'!$A$1:$R$7,5)</f>
        <v>Cyndi</v>
      </c>
      <c r="I144">
        <f t="shared" ca="1" si="26"/>
        <v>2</v>
      </c>
      <c r="J144" t="str">
        <f ca="1">VLOOKUP('Master Sheet'!G144,'Code Options'!$A$1:$R$7,6)</f>
        <v>Regional</v>
      </c>
      <c r="K144">
        <f t="shared" ca="1" si="27"/>
        <v>2</v>
      </c>
      <c r="L144" t="str">
        <f ca="1">VLOOKUP('Master Sheet'!I144,'Code Options'!$A$1:$R$7,7)</f>
        <v>Production</v>
      </c>
      <c r="M144">
        <f t="shared" ca="1" si="28"/>
        <v>3</v>
      </c>
      <c r="N144" t="str">
        <f ca="1">VLOOKUP('Master Sheet'!K144,'Code Options'!$A$1:$R$7,8)</f>
        <v>Comm.Fish.Mngmt</v>
      </c>
      <c r="O144">
        <f t="shared" ca="1" si="29"/>
        <v>5</v>
      </c>
      <c r="P144" t="str">
        <f ca="1">VLOOKUP('Master Sheet'!E144,'Code Options'!$A$1:$R$7,9)</f>
        <v>Fed_Code</v>
      </c>
      <c r="Q144" cm="1">
        <f t="array" aca="1" ref="Q144" ca="1">_xlfn.IFS(P144 ="State_Plan", RANDBETWEEN(1,23), P144 ="State_Code", RANDBETWEEN(1,23), P144 = "Fed_Code", 99, P144 = "Summ_Article", 999, P144 = "Guide", 999)</f>
        <v>99</v>
      </c>
      <c r="R144" t="str">
        <f ca="1">VLOOKUP(Q144,'States and Locations'!$A$1:$B$26,2)</f>
        <v>National</v>
      </c>
      <c r="S144">
        <f ca="1">VLOOKUP(Q144,'States and Locations'!$A$1:$D$26,3)</f>
        <v>39.833300000000001</v>
      </c>
      <c r="T144">
        <f ca="1">VLOOKUP(Q144,'States and Locations'!$A$1:$D$26,4)</f>
        <v>-98.583299999999994</v>
      </c>
      <c r="U144">
        <f t="shared" ca="1" si="30"/>
        <v>5</v>
      </c>
      <c r="V144" t="str">
        <f ca="1">VLOOKUP('Master Sheet'!E144,'Code Options'!$A$1:$R$7,10)</f>
        <v>Disposal</v>
      </c>
      <c r="W144">
        <f t="shared" ca="1" si="31"/>
        <v>1</v>
      </c>
      <c r="X144" t="str">
        <f ca="1">VLOOKUP('Master Sheet'!E144,'Code Options'!$A$1:$R$7,11)</f>
        <v>Comm_Fish</v>
      </c>
      <c r="Y144">
        <f t="shared" ca="1" si="32"/>
        <v>1</v>
      </c>
      <c r="Z144" t="str">
        <f ca="1">VLOOKUP('Master Sheet'!E144,'Code Options'!$A$1:$R$7,12)</f>
        <v>AS_constructors</v>
      </c>
    </row>
    <row r="145" spans="1:26" x14ac:dyDescent="0.2">
      <c r="A145">
        <f t="shared" ca="1" si="22"/>
        <v>3</v>
      </c>
      <c r="B145" t="str">
        <f ca="1">VLOOKUP('Master Sheet'!A145,'Code Options'!$A$1:$B$7,2)</f>
        <v>Metal</v>
      </c>
      <c r="C145">
        <f t="shared" ca="1" si="23"/>
        <v>1</v>
      </c>
      <c r="D145" t="str">
        <f ca="1">VLOOKUP('Master Sheet'!C145,'Code Options'!$A$1:$R$7,3)</f>
        <v>Retro</v>
      </c>
      <c r="E145">
        <f t="shared" ca="1" si="24"/>
        <v>2</v>
      </c>
      <c r="F145" t="str">
        <f ca="1">VLOOKUP('Master Sheet'!E145,'Code Options'!$A$1:$R$7,4)</f>
        <v>Cyndi</v>
      </c>
      <c r="G145">
        <f t="shared" ca="1" si="25"/>
        <v>1</v>
      </c>
      <c r="H145" t="str">
        <f ca="1">VLOOKUP('Master Sheet'!E145,'Code Options'!$A$1:$R$7,5)</f>
        <v>Cyndi</v>
      </c>
      <c r="I145">
        <f t="shared" ca="1" si="26"/>
        <v>4</v>
      </c>
      <c r="J145" t="str">
        <f ca="1">VLOOKUP('Master Sheet'!G145,'Code Options'!$A$1:$R$7,6)</f>
        <v>County/Local</v>
      </c>
      <c r="K145">
        <f t="shared" ca="1" si="27"/>
        <v>4</v>
      </c>
      <c r="L145" t="str">
        <f ca="1">VLOOKUP('Master Sheet'!I145,'Code Options'!$A$1:$R$7,7)</f>
        <v>Biodiversity</v>
      </c>
      <c r="M145">
        <f t="shared" ca="1" si="28"/>
        <v>2</v>
      </c>
      <c r="N145" t="str">
        <f ca="1">VLOOKUP('Master Sheet'!K145,'Code Options'!$A$1:$R$7,8)</f>
        <v>Creation of AR Mat</v>
      </c>
      <c r="O145">
        <f t="shared" ca="1" si="29"/>
        <v>1</v>
      </c>
      <c r="P145" t="str">
        <f ca="1">VLOOKUP('Master Sheet'!E145,'Code Options'!$A$1:$R$7,9)</f>
        <v>Fed_Code</v>
      </c>
      <c r="Q145" cm="1">
        <f t="array" aca="1" ref="Q145" ca="1">_xlfn.IFS(P145 ="State_Plan", RANDBETWEEN(1,23), P145 ="State_Code", RANDBETWEEN(1,23), P145 = "Fed_Code", 99, P145 = "Summ_Article", 999, P145 = "Guide", 999)</f>
        <v>99</v>
      </c>
      <c r="R145" t="str">
        <f ca="1">VLOOKUP(Q145,'States and Locations'!$A$1:$B$26,2)</f>
        <v>National</v>
      </c>
      <c r="S145">
        <f ca="1">VLOOKUP(Q145,'States and Locations'!$A$1:$D$26,3)</f>
        <v>39.833300000000001</v>
      </c>
      <c r="T145">
        <f ca="1">VLOOKUP(Q145,'States and Locations'!$A$1:$D$26,4)</f>
        <v>-98.583299999999994</v>
      </c>
      <c r="U145">
        <f t="shared" ca="1" si="30"/>
        <v>1</v>
      </c>
      <c r="V145" t="str">
        <f ca="1">VLOOKUP('Master Sheet'!E145,'Code Options'!$A$1:$R$7,10)</f>
        <v>Disposal</v>
      </c>
      <c r="W145">
        <f t="shared" ca="1" si="31"/>
        <v>5</v>
      </c>
      <c r="X145" t="str">
        <f ca="1">VLOOKUP('Master Sheet'!E145,'Code Options'!$A$1:$R$7,11)</f>
        <v>Comm_Fish</v>
      </c>
      <c r="Y145">
        <f t="shared" ca="1" si="32"/>
        <v>2</v>
      </c>
      <c r="Z145" t="str">
        <f ca="1">VLOOKUP('Master Sheet'!E145,'Code Options'!$A$1:$R$7,12)</f>
        <v>AS_constructors</v>
      </c>
    </row>
    <row r="146" spans="1:26" x14ac:dyDescent="0.2">
      <c r="A146">
        <f t="shared" ca="1" si="22"/>
        <v>6</v>
      </c>
      <c r="B146" t="str">
        <f ca="1">VLOOKUP('Master Sheet'!A146,'Code Options'!$A$1:$B$7,2)</f>
        <v>Tires/Rubber</v>
      </c>
      <c r="C146">
        <f t="shared" ca="1" si="23"/>
        <v>2</v>
      </c>
      <c r="D146" t="str">
        <f ca="1">VLOOKUP('Master Sheet'!C146,'Code Options'!$A$1:$R$7,3)</f>
        <v>Pro</v>
      </c>
      <c r="E146">
        <f t="shared" ca="1" si="24"/>
        <v>3</v>
      </c>
      <c r="F146" t="str">
        <f ca="1">VLOOKUP('Master Sheet'!E146,'Code Options'!$A$1:$R$7,4)</f>
        <v>Jon</v>
      </c>
      <c r="G146">
        <f t="shared" ca="1" si="25"/>
        <v>3</v>
      </c>
      <c r="H146" t="str">
        <f ca="1">VLOOKUP('Master Sheet'!E146,'Code Options'!$A$1:$R$7,5)</f>
        <v>Nick</v>
      </c>
      <c r="I146">
        <f t="shared" ca="1" si="26"/>
        <v>2</v>
      </c>
      <c r="J146" t="str">
        <f ca="1">VLOOKUP('Master Sheet'!G146,'Code Options'!$A$1:$R$7,6)</f>
        <v>Regional</v>
      </c>
      <c r="K146">
        <f t="shared" ca="1" si="27"/>
        <v>2</v>
      </c>
      <c r="L146" t="str">
        <f ca="1">VLOOKUP('Master Sheet'!I146,'Code Options'!$A$1:$R$7,7)</f>
        <v>Production</v>
      </c>
      <c r="M146">
        <f t="shared" ca="1" si="28"/>
        <v>5</v>
      </c>
      <c r="N146" t="str">
        <f ca="1">VLOOKUP('Master Sheet'!K146,'Code Options'!$A$1:$R$7,8)</f>
        <v>Comm.Fish.Mngmt</v>
      </c>
      <c r="O146">
        <f t="shared" ca="1" si="29"/>
        <v>3</v>
      </c>
      <c r="P146" t="str">
        <f ca="1">VLOOKUP('Master Sheet'!E146,'Code Options'!$A$1:$R$7,9)</f>
        <v>State_Plan</v>
      </c>
      <c r="Q146" cm="1">
        <f t="array" aca="1" ref="Q146" ca="1">_xlfn.IFS(P146 ="State_Plan", RANDBETWEEN(1,23), P146 ="State_Code", RANDBETWEEN(1,23), P146 = "Fed_Code", 99, P146 = "Summ_Article", 999, P146 = "Guide", 999)</f>
        <v>3</v>
      </c>
      <c r="R146" t="str">
        <f ca="1">VLOOKUP(Q146,'States and Locations'!$A$1:$B$26,2)</f>
        <v>Massachussetts</v>
      </c>
      <c r="S146">
        <f ca="1">VLOOKUP(Q146,'States and Locations'!$A$1:$D$26,3)</f>
        <v>42.4</v>
      </c>
      <c r="T146">
        <f ca="1">VLOOKUP(Q146,'States and Locations'!$A$1:$D$26,4)</f>
        <v>-71.383300000000006</v>
      </c>
      <c r="U146">
        <f t="shared" ca="1" si="30"/>
        <v>5</v>
      </c>
      <c r="V146" t="str">
        <f ca="1">VLOOKUP('Master Sheet'!E146,'Code Options'!$A$1:$R$7,10)</f>
        <v>Mitig.</v>
      </c>
      <c r="W146">
        <f t="shared" ca="1" si="31"/>
        <v>2</v>
      </c>
      <c r="X146" t="str">
        <f ca="1">VLOOKUP('Master Sheet'!E146,'Code Options'!$A$1:$R$7,11)</f>
        <v>Chart_Fish</v>
      </c>
      <c r="Y146">
        <f t="shared" ca="1" si="32"/>
        <v>3</v>
      </c>
      <c r="Z146" t="str">
        <f ca="1">VLOOKUP('Master Sheet'!E146,'Code Options'!$A$1:$R$7,12)</f>
        <v>Permit_reg_agencies</v>
      </c>
    </row>
    <row r="147" spans="1:26" x14ac:dyDescent="0.2">
      <c r="A147">
        <f t="shared" ca="1" si="22"/>
        <v>3</v>
      </c>
      <c r="B147" t="str">
        <f ca="1">VLOOKUP('Master Sheet'!A147,'Code Options'!$A$1:$B$7,2)</f>
        <v>Metal</v>
      </c>
      <c r="C147">
        <f t="shared" ca="1" si="23"/>
        <v>1</v>
      </c>
      <c r="D147" t="str">
        <f ca="1">VLOOKUP('Master Sheet'!C147,'Code Options'!$A$1:$R$7,3)</f>
        <v>Retro</v>
      </c>
      <c r="E147">
        <f t="shared" ca="1" si="24"/>
        <v>3</v>
      </c>
      <c r="F147" t="str">
        <f ca="1">VLOOKUP('Master Sheet'!E147,'Code Options'!$A$1:$R$7,4)</f>
        <v>Jon</v>
      </c>
      <c r="G147">
        <f t="shared" ca="1" si="25"/>
        <v>2</v>
      </c>
      <c r="H147" t="str">
        <f ca="1">VLOOKUP('Master Sheet'!E147,'Code Options'!$A$1:$R$7,5)</f>
        <v>Nick</v>
      </c>
      <c r="I147">
        <f t="shared" ca="1" si="26"/>
        <v>1</v>
      </c>
      <c r="J147" t="str">
        <f ca="1">VLOOKUP('Master Sheet'!G147,'Code Options'!$A$1:$R$7,6)</f>
        <v>State</v>
      </c>
      <c r="K147">
        <f t="shared" ca="1" si="27"/>
        <v>2</v>
      </c>
      <c r="L147" t="str">
        <f ca="1">VLOOKUP('Master Sheet'!I147,'Code Options'!$A$1:$R$7,7)</f>
        <v>Habitat</v>
      </c>
      <c r="M147">
        <f t="shared" ca="1" si="28"/>
        <v>4</v>
      </c>
      <c r="N147" t="str">
        <f ca="1">VLOOKUP('Master Sheet'!K147,'Code Options'!$A$1:$R$7,8)</f>
        <v>Comm.Fish.Mngmt</v>
      </c>
      <c r="O147">
        <f t="shared" ca="1" si="29"/>
        <v>5</v>
      </c>
      <c r="P147" t="str">
        <f ca="1">VLOOKUP('Master Sheet'!E147,'Code Options'!$A$1:$R$7,9)</f>
        <v>State_Plan</v>
      </c>
      <c r="Q147" cm="1">
        <f t="array" aca="1" ref="Q147" ca="1">_xlfn.IFS(P147 ="State_Plan", RANDBETWEEN(1,23), P147 ="State_Code", RANDBETWEEN(1,23), P147 = "Fed_Code", 99, P147 = "Summ_Article", 999, P147 = "Guide", 999)</f>
        <v>1</v>
      </c>
      <c r="R147" t="str">
        <f ca="1">VLOOKUP(Q147,'States and Locations'!$A$1:$B$26,2)</f>
        <v>Maine</v>
      </c>
      <c r="S147">
        <f ca="1">VLOOKUP(Q147,'States and Locations'!$A$1:$D$26,3)</f>
        <v>45.366700000000002</v>
      </c>
      <c r="T147">
        <f ca="1">VLOOKUP(Q147,'States and Locations'!$A$1:$D$26,4)</f>
        <v>-69.2333</v>
      </c>
      <c r="U147">
        <f t="shared" ca="1" si="30"/>
        <v>4</v>
      </c>
      <c r="V147" t="str">
        <f ca="1">VLOOKUP('Master Sheet'!E147,'Code Options'!$A$1:$R$7,10)</f>
        <v>Mitig.</v>
      </c>
      <c r="W147">
        <f t="shared" ca="1" si="31"/>
        <v>3</v>
      </c>
      <c r="X147" t="str">
        <f ca="1">VLOOKUP('Master Sheet'!E147,'Code Options'!$A$1:$R$7,11)</f>
        <v>Chart_Fish</v>
      </c>
      <c r="Y147">
        <f t="shared" ca="1" si="32"/>
        <v>5</v>
      </c>
      <c r="Z147" t="str">
        <f ca="1">VLOOKUP('Master Sheet'!E147,'Code Options'!$A$1:$R$7,12)</f>
        <v>Permit_reg_agencies</v>
      </c>
    </row>
    <row r="148" spans="1:26" x14ac:dyDescent="0.2">
      <c r="A148">
        <f t="shared" ca="1" si="22"/>
        <v>1</v>
      </c>
      <c r="B148" t="str">
        <f ca="1">VLOOKUP('Master Sheet'!A148,'Code Options'!$A$1:$B$7,2)</f>
        <v>Composite</v>
      </c>
      <c r="C148">
        <f t="shared" ca="1" si="23"/>
        <v>2</v>
      </c>
      <c r="D148" t="str">
        <f ca="1">VLOOKUP('Master Sheet'!C148,'Code Options'!$A$1:$R$7,3)</f>
        <v>Pro</v>
      </c>
      <c r="E148">
        <f t="shared" ca="1" si="24"/>
        <v>5</v>
      </c>
      <c r="F148" t="str">
        <f ca="1">VLOOKUP('Master Sheet'!E148,'Code Options'!$A$1:$R$7,4)</f>
        <v>Nick</v>
      </c>
      <c r="G148">
        <f t="shared" ca="1" si="25"/>
        <v>2</v>
      </c>
      <c r="H148">
        <f ca="1">VLOOKUP('Master Sheet'!E148,'Code Options'!$A$1:$R$7,5)</f>
        <v>0</v>
      </c>
      <c r="I148">
        <f t="shared" ca="1" si="26"/>
        <v>2</v>
      </c>
      <c r="J148" t="str">
        <f ca="1">VLOOKUP('Master Sheet'!G148,'Code Options'!$A$1:$R$7,6)</f>
        <v>State</v>
      </c>
      <c r="K148">
        <f t="shared" ca="1" si="27"/>
        <v>4</v>
      </c>
      <c r="L148" t="str">
        <f ca="1">VLOOKUP('Master Sheet'!I148,'Code Options'!$A$1:$R$7,7)</f>
        <v>Production</v>
      </c>
      <c r="M148">
        <f t="shared" ca="1" si="28"/>
        <v>2</v>
      </c>
      <c r="N148" t="str">
        <f ca="1">VLOOKUP('Master Sheet'!K148,'Code Options'!$A$1:$R$7,8)</f>
        <v>Creation of AR Mat</v>
      </c>
      <c r="O148">
        <f t="shared" ca="1" si="29"/>
        <v>2</v>
      </c>
      <c r="P148" t="str">
        <f ca="1">VLOOKUP('Master Sheet'!E148,'Code Options'!$A$1:$R$7,9)</f>
        <v>Guide</v>
      </c>
      <c r="Q148" cm="1">
        <f t="array" aca="1" ref="Q148" ca="1">_xlfn.IFS(P148 ="State_Plan", RANDBETWEEN(1,23), P148 ="State_Code", RANDBETWEEN(1,23), P148 = "Fed_Code", 99, P148 = "Summ_Article", 999, P148 = "Guide", 999)</f>
        <v>999</v>
      </c>
      <c r="R148" t="str">
        <f ca="1">VLOOKUP(Q148,'States and Locations'!$A$1:$B$26,2)</f>
        <v>UNK</v>
      </c>
      <c r="S148">
        <f ca="1">VLOOKUP(Q148,'States and Locations'!$A$1:$D$26,3)</f>
        <v>25</v>
      </c>
      <c r="T148">
        <f ca="1">VLOOKUP(Q148,'States and Locations'!$A$1:$D$26,4)</f>
        <v>-90</v>
      </c>
      <c r="U148">
        <f t="shared" ca="1" si="30"/>
        <v>1</v>
      </c>
      <c r="V148" t="str">
        <f ca="1">VLOOKUP('Master Sheet'!E148,'Code Options'!$A$1:$R$7,10)</f>
        <v>Wave_attenuation</v>
      </c>
      <c r="W148">
        <f t="shared" ca="1" si="31"/>
        <v>4</v>
      </c>
      <c r="X148" t="str">
        <f ca="1">VLOOKUP('Master Sheet'!E148,'Code Options'!$A$1:$R$7,11)</f>
        <v>Scuba</v>
      </c>
      <c r="Y148">
        <f t="shared" ca="1" si="32"/>
        <v>5</v>
      </c>
      <c r="Z148" t="str">
        <f ca="1">VLOOKUP('Master Sheet'!E148,'Code Options'!$A$1:$R$7,12)</f>
        <v>anglers</v>
      </c>
    </row>
    <row r="149" spans="1:26" x14ac:dyDescent="0.2">
      <c r="A149">
        <f t="shared" ca="1" si="22"/>
        <v>5</v>
      </c>
      <c r="B149" t="str">
        <f ca="1">VLOOKUP('Master Sheet'!A149,'Code Options'!$A$1:$B$7,2)</f>
        <v>Rock</v>
      </c>
      <c r="C149">
        <f t="shared" ca="1" si="23"/>
        <v>3</v>
      </c>
      <c r="D149" t="str">
        <f ca="1">VLOOKUP('Master Sheet'!C149,'Code Options'!$A$1:$R$7,3)</f>
        <v>Unsure</v>
      </c>
      <c r="E149">
        <f t="shared" ca="1" si="24"/>
        <v>4</v>
      </c>
      <c r="F149" t="str">
        <f ca="1">VLOOKUP('Master Sheet'!E149,'Code Options'!$A$1:$R$7,4)</f>
        <v>LM</v>
      </c>
      <c r="G149">
        <f t="shared" ca="1" si="25"/>
        <v>2</v>
      </c>
      <c r="H149">
        <f ca="1">VLOOKUP('Master Sheet'!E149,'Code Options'!$A$1:$R$7,5)</f>
        <v>0</v>
      </c>
      <c r="I149">
        <f t="shared" ca="1" si="26"/>
        <v>2</v>
      </c>
      <c r="J149" t="str">
        <f ca="1">VLOOKUP('Master Sheet'!G149,'Code Options'!$A$1:$R$7,6)</f>
        <v>State</v>
      </c>
      <c r="K149">
        <f t="shared" ca="1" si="27"/>
        <v>1</v>
      </c>
      <c r="L149" t="str">
        <f ca="1">VLOOKUP('Master Sheet'!I149,'Code Options'!$A$1:$R$7,7)</f>
        <v>Production</v>
      </c>
      <c r="M149">
        <f t="shared" ca="1" si="28"/>
        <v>4</v>
      </c>
      <c r="N149" t="str">
        <f ca="1">VLOOKUP('Master Sheet'!K149,'Code Options'!$A$1:$R$7,8)</f>
        <v>Fish.Enhancement</v>
      </c>
      <c r="O149">
        <f t="shared" ca="1" si="29"/>
        <v>1</v>
      </c>
      <c r="P149" t="str">
        <f ca="1">VLOOKUP('Master Sheet'!E149,'Code Options'!$A$1:$R$7,9)</f>
        <v>Summ_Article</v>
      </c>
      <c r="Q149" cm="1">
        <f t="array" aca="1" ref="Q149" ca="1">_xlfn.IFS(P149 ="State_Plan", RANDBETWEEN(1,23), P149 ="State_Code", RANDBETWEEN(1,23), P149 = "Fed_Code", 99, P149 = "Summ_Article", 999, P149 = "Guide", 999)</f>
        <v>999</v>
      </c>
      <c r="R149" t="str">
        <f ca="1">VLOOKUP(Q149,'States and Locations'!$A$1:$B$26,2)</f>
        <v>UNK</v>
      </c>
      <c r="S149">
        <f ca="1">VLOOKUP(Q149,'States and Locations'!$A$1:$D$26,3)</f>
        <v>25</v>
      </c>
      <c r="T149">
        <f ca="1">VLOOKUP(Q149,'States and Locations'!$A$1:$D$26,4)</f>
        <v>-90</v>
      </c>
      <c r="U149">
        <f t="shared" ca="1" si="30"/>
        <v>5</v>
      </c>
      <c r="V149" t="str">
        <f ca="1">VLOOKUP('Master Sheet'!E149,'Code Options'!$A$1:$R$7,10)</f>
        <v>Hab_restoration</v>
      </c>
      <c r="W149">
        <f t="shared" ca="1" si="31"/>
        <v>3</v>
      </c>
      <c r="X149" t="str">
        <f ca="1">VLOOKUP('Master Sheet'!E149,'Code Options'!$A$1:$R$7,11)</f>
        <v>Non-Fish_rec</v>
      </c>
      <c r="Y149">
        <f t="shared" ca="1" si="32"/>
        <v>3</v>
      </c>
      <c r="Z149" t="str">
        <f ca="1">VLOOKUP('Master Sheet'!E149,'Code Options'!$A$1:$R$7,12)</f>
        <v>people_interested</v>
      </c>
    </row>
    <row r="150" spans="1:26" x14ac:dyDescent="0.2">
      <c r="A150">
        <f t="shared" ca="1" si="22"/>
        <v>3</v>
      </c>
      <c r="B150" t="str">
        <f ca="1">VLOOKUP('Master Sheet'!A150,'Code Options'!$A$1:$B$7,2)</f>
        <v>Metal</v>
      </c>
      <c r="C150">
        <f t="shared" ca="1" si="23"/>
        <v>2</v>
      </c>
      <c r="D150" t="str">
        <f ca="1">VLOOKUP('Master Sheet'!C150,'Code Options'!$A$1:$R$7,3)</f>
        <v>Pro</v>
      </c>
      <c r="E150">
        <f t="shared" ca="1" si="24"/>
        <v>4</v>
      </c>
      <c r="F150" t="str">
        <f ca="1">VLOOKUP('Master Sheet'!E150,'Code Options'!$A$1:$R$7,4)</f>
        <v>LM</v>
      </c>
      <c r="G150">
        <f t="shared" ca="1" si="25"/>
        <v>1</v>
      </c>
      <c r="H150">
        <f ca="1">VLOOKUP('Master Sheet'!E150,'Code Options'!$A$1:$R$7,5)</f>
        <v>0</v>
      </c>
      <c r="I150">
        <f t="shared" ca="1" si="26"/>
        <v>3</v>
      </c>
      <c r="J150" t="str">
        <f ca="1">VLOOKUP('Master Sheet'!G150,'Code Options'!$A$1:$R$7,6)</f>
        <v>County/Local</v>
      </c>
      <c r="K150">
        <f t="shared" ca="1" si="27"/>
        <v>1</v>
      </c>
      <c r="L150" t="str">
        <f ca="1">VLOOKUP('Master Sheet'!I150,'Code Options'!$A$1:$R$7,7)</f>
        <v>Aggregation</v>
      </c>
      <c r="M150">
        <f t="shared" ca="1" si="28"/>
        <v>1</v>
      </c>
      <c r="N150" t="str">
        <f ca="1">VLOOKUP('Master Sheet'!K150,'Code Options'!$A$1:$R$7,8)</f>
        <v>Fish.Enhancement</v>
      </c>
      <c r="O150">
        <f t="shared" ca="1" si="29"/>
        <v>4</v>
      </c>
      <c r="P150" t="str">
        <f ca="1">VLOOKUP('Master Sheet'!E150,'Code Options'!$A$1:$R$7,9)</f>
        <v>Summ_Article</v>
      </c>
      <c r="Q150" cm="1">
        <f t="array" aca="1" ref="Q150" ca="1">_xlfn.IFS(P150 ="State_Plan", RANDBETWEEN(1,23), P150 ="State_Code", RANDBETWEEN(1,23), P150 = "Fed_Code", 99, P150 = "Summ_Article", 999, P150 = "Guide", 999)</f>
        <v>999</v>
      </c>
      <c r="R150" t="str">
        <f ca="1">VLOOKUP(Q150,'States and Locations'!$A$1:$B$26,2)</f>
        <v>UNK</v>
      </c>
      <c r="S150">
        <f ca="1">VLOOKUP(Q150,'States and Locations'!$A$1:$D$26,3)</f>
        <v>25</v>
      </c>
      <c r="T150">
        <f ca="1">VLOOKUP(Q150,'States and Locations'!$A$1:$D$26,4)</f>
        <v>-90</v>
      </c>
      <c r="U150">
        <f t="shared" ca="1" si="30"/>
        <v>1</v>
      </c>
      <c r="V150" t="str">
        <f ca="1">VLOOKUP('Master Sheet'!E150,'Code Options'!$A$1:$R$7,10)</f>
        <v>Hab_restoration</v>
      </c>
      <c r="W150">
        <f t="shared" ca="1" si="31"/>
        <v>5</v>
      </c>
      <c r="X150" t="str">
        <f ca="1">VLOOKUP('Master Sheet'!E150,'Code Options'!$A$1:$R$7,11)</f>
        <v>Non-Fish_rec</v>
      </c>
      <c r="Y150">
        <f t="shared" ca="1" si="32"/>
        <v>3</v>
      </c>
      <c r="Z150" t="str">
        <f ca="1">VLOOKUP('Master Sheet'!E150,'Code Options'!$A$1:$R$7,12)</f>
        <v>people_interested</v>
      </c>
    </row>
    <row r="151" spans="1:26" x14ac:dyDescent="0.2">
      <c r="A151">
        <f t="shared" ca="1" si="22"/>
        <v>5</v>
      </c>
      <c r="B151" t="str">
        <f ca="1">VLOOKUP('Master Sheet'!A151,'Code Options'!$A$1:$B$7,2)</f>
        <v>Rock</v>
      </c>
      <c r="C151">
        <f t="shared" ca="1" si="23"/>
        <v>3</v>
      </c>
      <c r="D151" t="str">
        <f ca="1">VLOOKUP('Master Sheet'!C151,'Code Options'!$A$1:$R$7,3)</f>
        <v>Unsure</v>
      </c>
      <c r="E151">
        <f t="shared" ca="1" si="24"/>
        <v>3</v>
      </c>
      <c r="F151" t="str">
        <f ca="1">VLOOKUP('Master Sheet'!E151,'Code Options'!$A$1:$R$7,4)</f>
        <v>Jon</v>
      </c>
      <c r="G151">
        <f t="shared" ca="1" si="25"/>
        <v>2</v>
      </c>
      <c r="H151" t="str">
        <f ca="1">VLOOKUP('Master Sheet'!E151,'Code Options'!$A$1:$R$7,5)</f>
        <v>Nick</v>
      </c>
      <c r="I151">
        <f t="shared" ca="1" si="26"/>
        <v>3</v>
      </c>
      <c r="J151" t="str">
        <f ca="1">VLOOKUP('Master Sheet'!G151,'Code Options'!$A$1:$R$7,6)</f>
        <v>State</v>
      </c>
      <c r="K151">
        <f t="shared" ca="1" si="27"/>
        <v>3</v>
      </c>
      <c r="L151" t="str">
        <f ca="1">VLOOKUP('Master Sheet'!I151,'Code Options'!$A$1:$R$7,7)</f>
        <v>Aggregation</v>
      </c>
      <c r="M151">
        <f t="shared" ca="1" si="28"/>
        <v>5</v>
      </c>
      <c r="N151" t="str">
        <f ca="1">VLOOKUP('Master Sheet'!K151,'Code Options'!$A$1:$R$7,8)</f>
        <v>Rec.Fish.Mngmt</v>
      </c>
      <c r="O151">
        <f t="shared" ca="1" si="29"/>
        <v>4</v>
      </c>
      <c r="P151" t="str">
        <f ca="1">VLOOKUP('Master Sheet'!E151,'Code Options'!$A$1:$R$7,9)</f>
        <v>State_Plan</v>
      </c>
      <c r="Q151" cm="1">
        <f t="array" aca="1" ref="Q151" ca="1">_xlfn.IFS(P151 ="State_Plan", RANDBETWEEN(1,23), P151 ="State_Code", RANDBETWEEN(1,23), P151 = "Fed_Code", 99, P151 = "Summ_Article", 999, P151 = "Guide", 999)</f>
        <v>13</v>
      </c>
      <c r="R151" t="str">
        <f ca="1">VLOOKUP(Q151,'States and Locations'!$A$1:$B$26,2)</f>
        <v>Georgia</v>
      </c>
      <c r="S151">
        <f ca="1">VLOOKUP(Q151,'States and Locations'!$A$1:$D$26,3)</f>
        <v>32.716700000000003</v>
      </c>
      <c r="T151">
        <f ca="1">VLOOKUP(Q151,'States and Locations'!$A$1:$D$26,4)</f>
        <v>-83.5</v>
      </c>
      <c r="U151">
        <f t="shared" ca="1" si="30"/>
        <v>1</v>
      </c>
      <c r="V151" t="str">
        <f ca="1">VLOOKUP('Master Sheet'!E151,'Code Options'!$A$1:$R$7,10)</f>
        <v>Mitig.</v>
      </c>
      <c r="W151">
        <f t="shared" ca="1" si="31"/>
        <v>5</v>
      </c>
      <c r="X151" t="str">
        <f ca="1">VLOOKUP('Master Sheet'!E151,'Code Options'!$A$1:$R$7,11)</f>
        <v>Chart_Fish</v>
      </c>
      <c r="Y151">
        <f t="shared" ca="1" si="32"/>
        <v>4</v>
      </c>
      <c r="Z151" t="str">
        <f ca="1">VLOOKUP('Master Sheet'!E151,'Code Options'!$A$1:$R$7,12)</f>
        <v>Permit_reg_agencies</v>
      </c>
    </row>
    <row r="152" spans="1:26" x14ac:dyDescent="0.2">
      <c r="A152">
        <f t="shared" ca="1" si="22"/>
        <v>6</v>
      </c>
      <c r="B152" t="str">
        <f ca="1">VLOOKUP('Master Sheet'!A152,'Code Options'!$A$1:$B$7,2)</f>
        <v>Tires/Rubber</v>
      </c>
      <c r="C152">
        <f t="shared" ca="1" si="23"/>
        <v>2</v>
      </c>
      <c r="D152" t="str">
        <f ca="1">VLOOKUP('Master Sheet'!C152,'Code Options'!$A$1:$R$7,3)</f>
        <v>Pro</v>
      </c>
      <c r="E152">
        <f t="shared" ca="1" si="24"/>
        <v>2</v>
      </c>
      <c r="F152" t="str">
        <f ca="1">VLOOKUP('Master Sheet'!E152,'Code Options'!$A$1:$R$7,4)</f>
        <v>Cyndi</v>
      </c>
      <c r="G152">
        <f t="shared" ca="1" si="25"/>
        <v>2</v>
      </c>
      <c r="H152" t="str">
        <f ca="1">VLOOKUP('Master Sheet'!E152,'Code Options'!$A$1:$R$7,5)</f>
        <v>Cyndi</v>
      </c>
      <c r="I152">
        <f t="shared" ca="1" si="26"/>
        <v>1</v>
      </c>
      <c r="J152" t="str">
        <f ca="1">VLOOKUP('Master Sheet'!G152,'Code Options'!$A$1:$R$7,6)</f>
        <v>State</v>
      </c>
      <c r="K152">
        <f t="shared" ca="1" si="27"/>
        <v>4</v>
      </c>
      <c r="L152" t="str">
        <f ca="1">VLOOKUP('Master Sheet'!I152,'Code Options'!$A$1:$R$7,7)</f>
        <v>Habitat</v>
      </c>
      <c r="M152">
        <f t="shared" ca="1" si="28"/>
        <v>3</v>
      </c>
      <c r="N152" t="str">
        <f ca="1">VLOOKUP('Master Sheet'!K152,'Code Options'!$A$1:$R$7,8)</f>
        <v>Creation of AR Mat</v>
      </c>
      <c r="O152">
        <f t="shared" ca="1" si="29"/>
        <v>2</v>
      </c>
      <c r="P152" t="str">
        <f ca="1">VLOOKUP('Master Sheet'!E152,'Code Options'!$A$1:$R$7,9)</f>
        <v>Fed_Code</v>
      </c>
      <c r="Q152" cm="1">
        <f t="array" aca="1" ref="Q152" ca="1">_xlfn.IFS(P152 ="State_Plan", RANDBETWEEN(1,23), P152 ="State_Code", RANDBETWEEN(1,23), P152 = "Fed_Code", 99, P152 = "Summ_Article", 999, P152 = "Guide", 999)</f>
        <v>99</v>
      </c>
      <c r="R152" t="str">
        <f ca="1">VLOOKUP(Q152,'States and Locations'!$A$1:$B$26,2)</f>
        <v>National</v>
      </c>
      <c r="S152">
        <f ca="1">VLOOKUP(Q152,'States and Locations'!$A$1:$D$26,3)</f>
        <v>39.833300000000001</v>
      </c>
      <c r="T152">
        <f ca="1">VLOOKUP(Q152,'States and Locations'!$A$1:$D$26,4)</f>
        <v>-98.583299999999994</v>
      </c>
      <c r="U152">
        <f t="shared" ca="1" si="30"/>
        <v>4</v>
      </c>
      <c r="V152" t="str">
        <f ca="1">VLOOKUP('Master Sheet'!E152,'Code Options'!$A$1:$R$7,10)</f>
        <v>Disposal</v>
      </c>
      <c r="W152">
        <f t="shared" ca="1" si="31"/>
        <v>4</v>
      </c>
      <c r="X152" t="str">
        <f ca="1">VLOOKUP('Master Sheet'!E152,'Code Options'!$A$1:$R$7,11)</f>
        <v>Comm_Fish</v>
      </c>
      <c r="Y152">
        <f t="shared" ca="1" si="32"/>
        <v>1</v>
      </c>
      <c r="Z152" t="str">
        <f ca="1">VLOOKUP('Master Sheet'!E152,'Code Options'!$A$1:$R$7,12)</f>
        <v>AS_constructors</v>
      </c>
    </row>
    <row r="153" spans="1:26" x14ac:dyDescent="0.2">
      <c r="A153">
        <f t="shared" ca="1" si="22"/>
        <v>2</v>
      </c>
      <c r="B153" t="str">
        <f ca="1">VLOOKUP('Master Sheet'!A153,'Code Options'!$A$1:$B$7,2)</f>
        <v>Concrete</v>
      </c>
      <c r="C153">
        <f t="shared" ca="1" si="23"/>
        <v>3</v>
      </c>
      <c r="D153" t="str">
        <f ca="1">VLOOKUP('Master Sheet'!C153,'Code Options'!$A$1:$R$7,3)</f>
        <v>Unsure</v>
      </c>
      <c r="E153">
        <f t="shared" ca="1" si="24"/>
        <v>1</v>
      </c>
      <c r="F153" t="str">
        <f ca="1">VLOOKUP('Master Sheet'!E153,'Code Options'!$A$1:$R$7,4)</f>
        <v>Will</v>
      </c>
      <c r="G153">
        <f t="shared" ca="1" si="25"/>
        <v>1</v>
      </c>
      <c r="H153" t="str">
        <f ca="1">VLOOKUP('Master Sheet'!E153,'Code Options'!$A$1:$R$7,5)</f>
        <v>Will</v>
      </c>
      <c r="I153">
        <f t="shared" ca="1" si="26"/>
        <v>4</v>
      </c>
      <c r="J153" t="str">
        <f ca="1">VLOOKUP('Master Sheet'!G153,'Code Options'!$A$1:$R$7,6)</f>
        <v>County/Local</v>
      </c>
      <c r="K153">
        <f t="shared" ca="1" si="27"/>
        <v>3</v>
      </c>
      <c r="L153" t="str">
        <f ca="1">VLOOKUP('Master Sheet'!I153,'Code Options'!$A$1:$R$7,7)</f>
        <v>Biodiversity</v>
      </c>
      <c r="M153">
        <f t="shared" ca="1" si="28"/>
        <v>4</v>
      </c>
      <c r="N153" t="str">
        <f ca="1">VLOOKUP('Master Sheet'!K153,'Code Options'!$A$1:$R$7,8)</f>
        <v>Rec.Fish.Mngmt</v>
      </c>
      <c r="O153">
        <f t="shared" ca="1" si="29"/>
        <v>2</v>
      </c>
      <c r="P153" t="str">
        <f ca="1">VLOOKUP('Master Sheet'!E153,'Code Options'!$A$1:$R$7,9)</f>
        <v>State_Code</v>
      </c>
      <c r="Q153" cm="1">
        <f t="array" aca="1" ref="Q153" ca="1">_xlfn.IFS(P153 ="State_Plan", RANDBETWEEN(1,23), P153 ="State_Code", RANDBETWEEN(1,23), P153 = "Fed_Code", 99, P153 = "Summ_Article", 999, P153 = "Guide", 999)</f>
        <v>10</v>
      </c>
      <c r="R153" t="str">
        <f ca="1">VLOOKUP(Q153,'States and Locations'!$A$1:$B$26,2)</f>
        <v>Virginia</v>
      </c>
      <c r="S153">
        <f ca="1">VLOOKUP(Q153,'States and Locations'!$A$1:$D$26,3)</f>
        <v>37.5167</v>
      </c>
      <c r="T153">
        <f ca="1">VLOOKUP(Q153,'States and Locations'!$A$1:$D$26,4)</f>
        <v>-78.633300000000006</v>
      </c>
      <c r="U153">
        <f t="shared" ca="1" si="30"/>
        <v>4</v>
      </c>
      <c r="V153" t="str">
        <f ca="1">VLOOKUP('Master Sheet'!E153,'Code Options'!$A$1:$R$7,10)</f>
        <v>Hab_enhancement</v>
      </c>
      <c r="W153">
        <f t="shared" ca="1" si="31"/>
        <v>1</v>
      </c>
      <c r="X153" t="str">
        <f ca="1">VLOOKUP('Master Sheet'!E153,'Code Options'!$A$1:$R$7,11)</f>
        <v>Rec_Fish</v>
      </c>
      <c r="Y153">
        <f t="shared" ca="1" si="32"/>
        <v>1</v>
      </c>
      <c r="Z153" t="str">
        <f ca="1">VLOOKUP('Master Sheet'!E153,'Code Options'!$A$1:$R$7,12)</f>
        <v>AR_proj_plan_mngrs</v>
      </c>
    </row>
    <row r="154" spans="1:26" x14ac:dyDescent="0.2">
      <c r="A154">
        <f t="shared" ca="1" si="22"/>
        <v>4</v>
      </c>
      <c r="B154" t="str">
        <f ca="1">VLOOKUP('Master Sheet'!A154,'Code Options'!$A$1:$B$7,2)</f>
        <v>Other</v>
      </c>
      <c r="C154">
        <f t="shared" ca="1" si="23"/>
        <v>2</v>
      </c>
      <c r="D154" t="str">
        <f ca="1">VLOOKUP('Master Sheet'!C154,'Code Options'!$A$1:$R$7,3)</f>
        <v>Pro</v>
      </c>
      <c r="E154">
        <f t="shared" ca="1" si="24"/>
        <v>3</v>
      </c>
      <c r="F154" t="str">
        <f ca="1">VLOOKUP('Master Sheet'!E154,'Code Options'!$A$1:$R$7,4)</f>
        <v>Jon</v>
      </c>
      <c r="G154">
        <f t="shared" ca="1" si="25"/>
        <v>1</v>
      </c>
      <c r="H154" t="str">
        <f ca="1">VLOOKUP('Master Sheet'!E154,'Code Options'!$A$1:$R$7,5)</f>
        <v>Nick</v>
      </c>
      <c r="I154">
        <f t="shared" ca="1" si="26"/>
        <v>4</v>
      </c>
      <c r="J154" t="str">
        <f ca="1">VLOOKUP('Master Sheet'!G154,'Code Options'!$A$1:$R$7,6)</f>
        <v>County/Local</v>
      </c>
      <c r="K154">
        <f t="shared" ca="1" si="27"/>
        <v>3</v>
      </c>
      <c r="L154" t="str">
        <f ca="1">VLOOKUP('Master Sheet'!I154,'Code Options'!$A$1:$R$7,7)</f>
        <v>Biodiversity</v>
      </c>
      <c r="M154">
        <f t="shared" ca="1" si="28"/>
        <v>4</v>
      </c>
      <c r="N154" t="str">
        <f ca="1">VLOOKUP('Master Sheet'!K154,'Code Options'!$A$1:$R$7,8)</f>
        <v>Rec.Fish.Mngmt</v>
      </c>
      <c r="O154">
        <f t="shared" ca="1" si="29"/>
        <v>3</v>
      </c>
      <c r="P154" t="str">
        <f ca="1">VLOOKUP('Master Sheet'!E154,'Code Options'!$A$1:$R$7,9)</f>
        <v>State_Plan</v>
      </c>
      <c r="Q154" cm="1">
        <f t="array" aca="1" ref="Q154" ca="1">_xlfn.IFS(P154 ="State_Plan", RANDBETWEEN(1,23), P154 ="State_Code", RANDBETWEEN(1,23), P154 = "Fed_Code", 99, P154 = "Summ_Article", 999, P154 = "Guide", 999)</f>
        <v>12</v>
      </c>
      <c r="R154" t="str">
        <f ca="1">VLOOKUP(Q154,'States and Locations'!$A$1:$B$26,2)</f>
        <v>South Carolina</v>
      </c>
      <c r="S154">
        <f ca="1">VLOOKUP(Q154,'States and Locations'!$A$1:$D$26,3)</f>
        <v>33.833300000000001</v>
      </c>
      <c r="T154">
        <f ca="1">VLOOKUP(Q154,'States and Locations'!$A$1:$D$26,4)</f>
        <v>-81.166700000000006</v>
      </c>
      <c r="U154">
        <f t="shared" ca="1" si="30"/>
        <v>4</v>
      </c>
      <c r="V154" t="str">
        <f ca="1">VLOOKUP('Master Sheet'!E154,'Code Options'!$A$1:$R$7,10)</f>
        <v>Mitig.</v>
      </c>
      <c r="W154">
        <f t="shared" ca="1" si="31"/>
        <v>2</v>
      </c>
      <c r="X154" t="str">
        <f ca="1">VLOOKUP('Master Sheet'!E154,'Code Options'!$A$1:$R$7,11)</f>
        <v>Chart_Fish</v>
      </c>
      <c r="Y154">
        <f t="shared" ca="1" si="32"/>
        <v>1</v>
      </c>
      <c r="Z154" t="str">
        <f ca="1">VLOOKUP('Master Sheet'!E154,'Code Options'!$A$1:$R$7,12)</f>
        <v>Permit_reg_agencies</v>
      </c>
    </row>
    <row r="155" spans="1:26" x14ac:dyDescent="0.2">
      <c r="A155">
        <f t="shared" ca="1" si="22"/>
        <v>4</v>
      </c>
      <c r="B155" t="str">
        <f ca="1">VLOOKUP('Master Sheet'!A155,'Code Options'!$A$1:$B$7,2)</f>
        <v>Other</v>
      </c>
      <c r="C155">
        <f t="shared" ca="1" si="23"/>
        <v>3</v>
      </c>
      <c r="D155" t="str">
        <f ca="1">VLOOKUP('Master Sheet'!C155,'Code Options'!$A$1:$R$7,3)</f>
        <v>Unsure</v>
      </c>
      <c r="E155">
        <f t="shared" ca="1" si="24"/>
        <v>4</v>
      </c>
      <c r="F155" t="str">
        <f ca="1">VLOOKUP('Master Sheet'!E155,'Code Options'!$A$1:$R$7,4)</f>
        <v>LM</v>
      </c>
      <c r="G155">
        <f t="shared" ca="1" si="25"/>
        <v>3</v>
      </c>
      <c r="H155">
        <f ca="1">VLOOKUP('Master Sheet'!E155,'Code Options'!$A$1:$R$7,5)</f>
        <v>0</v>
      </c>
      <c r="I155">
        <f t="shared" ca="1" si="26"/>
        <v>3</v>
      </c>
      <c r="J155" t="str">
        <f ca="1">VLOOKUP('Master Sheet'!G155,'Code Options'!$A$1:$R$7,6)</f>
        <v>Regional</v>
      </c>
      <c r="K155">
        <f t="shared" ca="1" si="27"/>
        <v>4</v>
      </c>
      <c r="L155" t="str">
        <f ca="1">VLOOKUP('Master Sheet'!I155,'Code Options'!$A$1:$R$7,7)</f>
        <v>Aggregation</v>
      </c>
      <c r="M155">
        <f t="shared" ca="1" si="28"/>
        <v>5</v>
      </c>
      <c r="N155" t="str">
        <f ca="1">VLOOKUP('Master Sheet'!K155,'Code Options'!$A$1:$R$7,8)</f>
        <v>Creation of AR Mat</v>
      </c>
      <c r="O155">
        <f t="shared" ca="1" si="29"/>
        <v>3</v>
      </c>
      <c r="P155" t="str">
        <f ca="1">VLOOKUP('Master Sheet'!E155,'Code Options'!$A$1:$R$7,9)</f>
        <v>Summ_Article</v>
      </c>
      <c r="Q155" cm="1">
        <f t="array" aca="1" ref="Q155" ca="1">_xlfn.IFS(P155 ="State_Plan", RANDBETWEEN(1,23), P155 ="State_Code", RANDBETWEEN(1,23), P155 = "Fed_Code", 99, P155 = "Summ_Article", 999, P155 = "Guide", 999)</f>
        <v>999</v>
      </c>
      <c r="R155" t="str">
        <f ca="1">VLOOKUP(Q155,'States and Locations'!$A$1:$B$26,2)</f>
        <v>UNK</v>
      </c>
      <c r="S155">
        <f ca="1">VLOOKUP(Q155,'States and Locations'!$A$1:$D$26,3)</f>
        <v>25</v>
      </c>
      <c r="T155">
        <f ca="1">VLOOKUP(Q155,'States and Locations'!$A$1:$D$26,4)</f>
        <v>-90</v>
      </c>
      <c r="U155">
        <f t="shared" ca="1" si="30"/>
        <v>2</v>
      </c>
      <c r="V155" t="str">
        <f ca="1">VLOOKUP('Master Sheet'!E155,'Code Options'!$A$1:$R$7,10)</f>
        <v>Hab_restoration</v>
      </c>
      <c r="W155">
        <f t="shared" ca="1" si="31"/>
        <v>4</v>
      </c>
      <c r="X155" t="str">
        <f ca="1">VLOOKUP('Master Sheet'!E155,'Code Options'!$A$1:$R$7,11)</f>
        <v>Non-Fish_rec</v>
      </c>
      <c r="Y155">
        <f t="shared" ca="1" si="32"/>
        <v>5</v>
      </c>
      <c r="Z155" t="str">
        <f ca="1">VLOOKUP('Master Sheet'!E155,'Code Options'!$A$1:$R$7,12)</f>
        <v>people_interested</v>
      </c>
    </row>
    <row r="156" spans="1:26" x14ac:dyDescent="0.2">
      <c r="A156">
        <f t="shared" ca="1" si="22"/>
        <v>3</v>
      </c>
      <c r="B156" t="str">
        <f ca="1">VLOOKUP('Master Sheet'!A156,'Code Options'!$A$1:$B$7,2)</f>
        <v>Metal</v>
      </c>
      <c r="C156">
        <f t="shared" ca="1" si="23"/>
        <v>2</v>
      </c>
      <c r="D156" t="str">
        <f ca="1">VLOOKUP('Master Sheet'!C156,'Code Options'!$A$1:$R$7,3)</f>
        <v>Pro</v>
      </c>
      <c r="E156">
        <f t="shared" ca="1" si="24"/>
        <v>4</v>
      </c>
      <c r="F156" t="str">
        <f ca="1">VLOOKUP('Master Sheet'!E156,'Code Options'!$A$1:$R$7,4)</f>
        <v>LM</v>
      </c>
      <c r="G156">
        <f t="shared" ca="1" si="25"/>
        <v>2</v>
      </c>
      <c r="H156">
        <f ca="1">VLOOKUP('Master Sheet'!E156,'Code Options'!$A$1:$R$7,5)</f>
        <v>0</v>
      </c>
      <c r="I156">
        <f t="shared" ca="1" si="26"/>
        <v>3</v>
      </c>
      <c r="J156" t="str">
        <f ca="1">VLOOKUP('Master Sheet'!G156,'Code Options'!$A$1:$R$7,6)</f>
        <v>State</v>
      </c>
      <c r="K156">
        <f t="shared" ca="1" si="27"/>
        <v>3</v>
      </c>
      <c r="L156" t="str">
        <f ca="1">VLOOKUP('Master Sheet'!I156,'Code Options'!$A$1:$R$7,7)</f>
        <v>Aggregation</v>
      </c>
      <c r="M156">
        <f t="shared" ca="1" si="28"/>
        <v>1</v>
      </c>
      <c r="N156" t="str">
        <f ca="1">VLOOKUP('Master Sheet'!K156,'Code Options'!$A$1:$R$7,8)</f>
        <v>Rec.Fish.Mngmt</v>
      </c>
      <c r="O156">
        <f t="shared" ca="1" si="29"/>
        <v>1</v>
      </c>
      <c r="P156" t="str">
        <f ca="1">VLOOKUP('Master Sheet'!E156,'Code Options'!$A$1:$R$7,9)</f>
        <v>Summ_Article</v>
      </c>
      <c r="Q156" cm="1">
        <f t="array" aca="1" ref="Q156" ca="1">_xlfn.IFS(P156 ="State_Plan", RANDBETWEEN(1,23), P156 ="State_Code", RANDBETWEEN(1,23), P156 = "Fed_Code", 99, P156 = "Summ_Article", 999, P156 = "Guide", 999)</f>
        <v>999</v>
      </c>
      <c r="R156" t="str">
        <f ca="1">VLOOKUP(Q156,'States and Locations'!$A$1:$B$26,2)</f>
        <v>UNK</v>
      </c>
      <c r="S156">
        <f ca="1">VLOOKUP(Q156,'States and Locations'!$A$1:$D$26,3)</f>
        <v>25</v>
      </c>
      <c r="T156">
        <f ca="1">VLOOKUP(Q156,'States and Locations'!$A$1:$D$26,4)</f>
        <v>-90</v>
      </c>
      <c r="U156">
        <f t="shared" ca="1" si="30"/>
        <v>1</v>
      </c>
      <c r="V156" t="str">
        <f ca="1">VLOOKUP('Master Sheet'!E156,'Code Options'!$A$1:$R$7,10)</f>
        <v>Hab_restoration</v>
      </c>
      <c r="W156">
        <f t="shared" ca="1" si="31"/>
        <v>4</v>
      </c>
      <c r="X156" t="str">
        <f ca="1">VLOOKUP('Master Sheet'!E156,'Code Options'!$A$1:$R$7,11)</f>
        <v>Non-Fish_rec</v>
      </c>
      <c r="Y156">
        <f t="shared" ca="1" si="32"/>
        <v>3</v>
      </c>
      <c r="Z156" t="str">
        <f ca="1">VLOOKUP('Master Sheet'!E156,'Code Options'!$A$1:$R$7,12)</f>
        <v>people_interested</v>
      </c>
    </row>
    <row r="157" spans="1:26" x14ac:dyDescent="0.2">
      <c r="A157">
        <f t="shared" ca="1" si="22"/>
        <v>3</v>
      </c>
      <c r="B157" t="str">
        <f ca="1">VLOOKUP('Master Sheet'!A157,'Code Options'!$A$1:$B$7,2)</f>
        <v>Metal</v>
      </c>
      <c r="C157">
        <f t="shared" ca="1" si="23"/>
        <v>1</v>
      </c>
      <c r="D157" t="str">
        <f ca="1">VLOOKUP('Master Sheet'!C157,'Code Options'!$A$1:$R$7,3)</f>
        <v>Retro</v>
      </c>
      <c r="E157">
        <f t="shared" ca="1" si="24"/>
        <v>2</v>
      </c>
      <c r="F157" t="str">
        <f ca="1">VLOOKUP('Master Sheet'!E157,'Code Options'!$A$1:$R$7,4)</f>
        <v>Cyndi</v>
      </c>
      <c r="G157">
        <f t="shared" ca="1" si="25"/>
        <v>3</v>
      </c>
      <c r="H157" t="str">
        <f ca="1">VLOOKUP('Master Sheet'!E157,'Code Options'!$A$1:$R$7,5)</f>
        <v>Cyndi</v>
      </c>
      <c r="I157">
        <f t="shared" ca="1" si="26"/>
        <v>3</v>
      </c>
      <c r="J157" t="str">
        <f ca="1">VLOOKUP('Master Sheet'!G157,'Code Options'!$A$1:$R$7,6)</f>
        <v>Regional</v>
      </c>
      <c r="K157">
        <f t="shared" ca="1" si="27"/>
        <v>4</v>
      </c>
      <c r="L157" t="str">
        <f ca="1">VLOOKUP('Master Sheet'!I157,'Code Options'!$A$1:$R$7,7)</f>
        <v>Aggregation</v>
      </c>
      <c r="M157">
        <f t="shared" ca="1" si="28"/>
        <v>2</v>
      </c>
      <c r="N157" t="str">
        <f ca="1">VLOOKUP('Master Sheet'!K157,'Code Options'!$A$1:$R$7,8)</f>
        <v>Creation of AR Mat</v>
      </c>
      <c r="O157">
        <f t="shared" ca="1" si="29"/>
        <v>3</v>
      </c>
      <c r="P157" t="str">
        <f ca="1">VLOOKUP('Master Sheet'!E157,'Code Options'!$A$1:$R$7,9)</f>
        <v>Fed_Code</v>
      </c>
      <c r="Q157" cm="1">
        <f t="array" aca="1" ref="Q157" ca="1">_xlfn.IFS(P157 ="State_Plan", RANDBETWEEN(1,23), P157 ="State_Code", RANDBETWEEN(1,23), P157 = "Fed_Code", 99, P157 = "Summ_Article", 999, P157 = "Guide", 999)</f>
        <v>99</v>
      </c>
      <c r="R157" t="str">
        <f ca="1">VLOOKUP(Q157,'States and Locations'!$A$1:$B$26,2)</f>
        <v>National</v>
      </c>
      <c r="S157">
        <f ca="1">VLOOKUP(Q157,'States and Locations'!$A$1:$D$26,3)</f>
        <v>39.833300000000001</v>
      </c>
      <c r="T157">
        <f ca="1">VLOOKUP(Q157,'States and Locations'!$A$1:$D$26,4)</f>
        <v>-98.583299999999994</v>
      </c>
      <c r="U157">
        <f t="shared" ca="1" si="30"/>
        <v>5</v>
      </c>
      <c r="V157" t="str">
        <f ca="1">VLOOKUP('Master Sheet'!E157,'Code Options'!$A$1:$R$7,10)</f>
        <v>Disposal</v>
      </c>
      <c r="W157">
        <f t="shared" ca="1" si="31"/>
        <v>4</v>
      </c>
      <c r="X157" t="str">
        <f ca="1">VLOOKUP('Master Sheet'!E157,'Code Options'!$A$1:$R$7,11)</f>
        <v>Comm_Fish</v>
      </c>
      <c r="Y157">
        <f t="shared" ca="1" si="32"/>
        <v>5</v>
      </c>
      <c r="Z157" t="str">
        <f ca="1">VLOOKUP('Master Sheet'!E157,'Code Options'!$A$1:$R$7,12)</f>
        <v>AS_constructors</v>
      </c>
    </row>
    <row r="158" spans="1:26" x14ac:dyDescent="0.2">
      <c r="A158">
        <f t="shared" ca="1" si="22"/>
        <v>4</v>
      </c>
      <c r="B158" t="str">
        <f ca="1">VLOOKUP('Master Sheet'!A158,'Code Options'!$A$1:$B$7,2)</f>
        <v>Other</v>
      </c>
      <c r="C158">
        <f t="shared" ca="1" si="23"/>
        <v>2</v>
      </c>
      <c r="D158" t="str">
        <f ca="1">VLOOKUP('Master Sheet'!C158,'Code Options'!$A$1:$R$7,3)</f>
        <v>Pro</v>
      </c>
      <c r="E158">
        <f t="shared" ca="1" si="24"/>
        <v>4</v>
      </c>
      <c r="F158" t="str">
        <f ca="1">VLOOKUP('Master Sheet'!E158,'Code Options'!$A$1:$R$7,4)</f>
        <v>LM</v>
      </c>
      <c r="G158">
        <f t="shared" ca="1" si="25"/>
        <v>3</v>
      </c>
      <c r="H158">
        <f ca="1">VLOOKUP('Master Sheet'!E158,'Code Options'!$A$1:$R$7,5)</f>
        <v>0</v>
      </c>
      <c r="I158">
        <f t="shared" ca="1" si="26"/>
        <v>4</v>
      </c>
      <c r="J158" t="str">
        <f ca="1">VLOOKUP('Master Sheet'!G158,'Code Options'!$A$1:$R$7,6)</f>
        <v>Regional</v>
      </c>
      <c r="K158">
        <f t="shared" ca="1" si="27"/>
        <v>1</v>
      </c>
      <c r="L158" t="str">
        <f ca="1">VLOOKUP('Master Sheet'!I158,'Code Options'!$A$1:$R$7,7)</f>
        <v>Biodiversity</v>
      </c>
      <c r="M158">
        <f t="shared" ca="1" si="28"/>
        <v>5</v>
      </c>
      <c r="N158" t="str">
        <f ca="1">VLOOKUP('Master Sheet'!K158,'Code Options'!$A$1:$R$7,8)</f>
        <v>Fish.Enhancement</v>
      </c>
      <c r="O158">
        <f t="shared" ca="1" si="29"/>
        <v>2</v>
      </c>
      <c r="P158" t="str">
        <f ca="1">VLOOKUP('Master Sheet'!E158,'Code Options'!$A$1:$R$7,9)</f>
        <v>Summ_Article</v>
      </c>
      <c r="Q158" cm="1">
        <f t="array" aca="1" ref="Q158" ca="1">_xlfn.IFS(P158 ="State_Plan", RANDBETWEEN(1,23), P158 ="State_Code", RANDBETWEEN(1,23), P158 = "Fed_Code", 99, P158 = "Summ_Article", 999, P158 = "Guide", 999)</f>
        <v>999</v>
      </c>
      <c r="R158" t="str">
        <f ca="1">VLOOKUP(Q158,'States and Locations'!$A$1:$B$26,2)</f>
        <v>UNK</v>
      </c>
      <c r="S158">
        <f ca="1">VLOOKUP(Q158,'States and Locations'!$A$1:$D$26,3)</f>
        <v>25</v>
      </c>
      <c r="T158">
        <f ca="1">VLOOKUP(Q158,'States and Locations'!$A$1:$D$26,4)</f>
        <v>-90</v>
      </c>
      <c r="U158">
        <f t="shared" ca="1" si="30"/>
        <v>2</v>
      </c>
      <c r="V158" t="str">
        <f ca="1">VLOOKUP('Master Sheet'!E158,'Code Options'!$A$1:$R$7,10)</f>
        <v>Hab_restoration</v>
      </c>
      <c r="W158">
        <f t="shared" ca="1" si="31"/>
        <v>5</v>
      </c>
      <c r="X158" t="str">
        <f ca="1">VLOOKUP('Master Sheet'!E158,'Code Options'!$A$1:$R$7,11)</f>
        <v>Non-Fish_rec</v>
      </c>
      <c r="Y158">
        <f t="shared" ca="1" si="32"/>
        <v>4</v>
      </c>
      <c r="Z158" t="str">
        <f ca="1">VLOOKUP('Master Sheet'!E158,'Code Options'!$A$1:$R$7,12)</f>
        <v>people_interested</v>
      </c>
    </row>
    <row r="159" spans="1:26" x14ac:dyDescent="0.2">
      <c r="A159">
        <f t="shared" ca="1" si="22"/>
        <v>1</v>
      </c>
      <c r="B159" t="str">
        <f ca="1">VLOOKUP('Master Sheet'!A159,'Code Options'!$A$1:$B$7,2)</f>
        <v>Composite</v>
      </c>
      <c r="C159">
        <f t="shared" ca="1" si="23"/>
        <v>1</v>
      </c>
      <c r="D159" t="str">
        <f ca="1">VLOOKUP('Master Sheet'!C159,'Code Options'!$A$1:$R$7,3)</f>
        <v>Retro</v>
      </c>
      <c r="E159">
        <f t="shared" ca="1" si="24"/>
        <v>5</v>
      </c>
      <c r="F159" t="str">
        <f ca="1">VLOOKUP('Master Sheet'!E159,'Code Options'!$A$1:$R$7,4)</f>
        <v>Nick</v>
      </c>
      <c r="G159">
        <f t="shared" ca="1" si="25"/>
        <v>2</v>
      </c>
      <c r="H159">
        <f ca="1">VLOOKUP('Master Sheet'!E159,'Code Options'!$A$1:$R$7,5)</f>
        <v>0</v>
      </c>
      <c r="I159">
        <f t="shared" ca="1" si="26"/>
        <v>4</v>
      </c>
      <c r="J159" t="str">
        <f ca="1">VLOOKUP('Master Sheet'!G159,'Code Options'!$A$1:$R$7,6)</f>
        <v>State</v>
      </c>
      <c r="K159">
        <f t="shared" ca="1" si="27"/>
        <v>2</v>
      </c>
      <c r="L159" t="str">
        <f ca="1">VLOOKUP('Master Sheet'!I159,'Code Options'!$A$1:$R$7,7)</f>
        <v>Biodiversity</v>
      </c>
      <c r="M159">
        <f t="shared" ca="1" si="28"/>
        <v>4</v>
      </c>
      <c r="N159" t="str">
        <f ca="1">VLOOKUP('Master Sheet'!K159,'Code Options'!$A$1:$R$7,8)</f>
        <v>Comm.Fish.Mngmt</v>
      </c>
      <c r="O159">
        <f t="shared" ca="1" si="29"/>
        <v>1</v>
      </c>
      <c r="P159" t="str">
        <f ca="1">VLOOKUP('Master Sheet'!E159,'Code Options'!$A$1:$R$7,9)</f>
        <v>Guide</v>
      </c>
      <c r="Q159" cm="1">
        <f t="array" aca="1" ref="Q159" ca="1">_xlfn.IFS(P159 ="State_Plan", RANDBETWEEN(1,23), P159 ="State_Code", RANDBETWEEN(1,23), P159 = "Fed_Code", 99, P159 = "Summ_Article", 999, P159 = "Guide", 999)</f>
        <v>999</v>
      </c>
      <c r="R159" t="str">
        <f ca="1">VLOOKUP(Q159,'States and Locations'!$A$1:$B$26,2)</f>
        <v>UNK</v>
      </c>
      <c r="S159">
        <f ca="1">VLOOKUP(Q159,'States and Locations'!$A$1:$D$26,3)</f>
        <v>25</v>
      </c>
      <c r="T159">
        <f ca="1">VLOOKUP(Q159,'States and Locations'!$A$1:$D$26,4)</f>
        <v>-90</v>
      </c>
      <c r="U159">
        <f t="shared" ca="1" si="30"/>
        <v>1</v>
      </c>
      <c r="V159" t="str">
        <f ca="1">VLOOKUP('Master Sheet'!E159,'Code Options'!$A$1:$R$7,10)</f>
        <v>Wave_attenuation</v>
      </c>
      <c r="W159">
        <f t="shared" ca="1" si="31"/>
        <v>2</v>
      </c>
      <c r="X159" t="str">
        <f ca="1">VLOOKUP('Master Sheet'!E159,'Code Options'!$A$1:$R$7,11)</f>
        <v>Scuba</v>
      </c>
      <c r="Y159">
        <f t="shared" ca="1" si="32"/>
        <v>1</v>
      </c>
      <c r="Z159" t="str">
        <f ca="1">VLOOKUP('Master Sheet'!E159,'Code Options'!$A$1:$R$7,12)</f>
        <v>anglers</v>
      </c>
    </row>
    <row r="160" spans="1:26" x14ac:dyDescent="0.2">
      <c r="A160">
        <f t="shared" ca="1" si="22"/>
        <v>1</v>
      </c>
      <c r="B160" t="str">
        <f ca="1">VLOOKUP('Master Sheet'!A160,'Code Options'!$A$1:$B$7,2)</f>
        <v>Composite</v>
      </c>
      <c r="C160">
        <f t="shared" ca="1" si="23"/>
        <v>1</v>
      </c>
      <c r="D160" t="str">
        <f ca="1">VLOOKUP('Master Sheet'!C160,'Code Options'!$A$1:$R$7,3)</f>
        <v>Retro</v>
      </c>
      <c r="E160">
        <f t="shared" ca="1" si="24"/>
        <v>3</v>
      </c>
      <c r="F160" t="str">
        <f ca="1">VLOOKUP('Master Sheet'!E160,'Code Options'!$A$1:$R$7,4)</f>
        <v>Jon</v>
      </c>
      <c r="G160">
        <f t="shared" ca="1" si="25"/>
        <v>3</v>
      </c>
      <c r="H160" t="str">
        <f ca="1">VLOOKUP('Master Sheet'!E160,'Code Options'!$A$1:$R$7,5)</f>
        <v>Nick</v>
      </c>
      <c r="I160">
        <f t="shared" ca="1" si="26"/>
        <v>1</v>
      </c>
      <c r="J160" t="str">
        <f ca="1">VLOOKUP('Master Sheet'!G160,'Code Options'!$A$1:$R$7,6)</f>
        <v>Regional</v>
      </c>
      <c r="K160">
        <f t="shared" ca="1" si="27"/>
        <v>3</v>
      </c>
      <c r="L160" t="str">
        <f ca="1">VLOOKUP('Master Sheet'!I160,'Code Options'!$A$1:$R$7,7)</f>
        <v>Habitat</v>
      </c>
      <c r="M160">
        <f t="shared" ca="1" si="28"/>
        <v>4</v>
      </c>
      <c r="N160" t="str">
        <f ca="1">VLOOKUP('Master Sheet'!K160,'Code Options'!$A$1:$R$7,8)</f>
        <v>Rec.Fish.Mngmt</v>
      </c>
      <c r="O160">
        <f t="shared" ca="1" si="29"/>
        <v>4</v>
      </c>
      <c r="P160" t="str">
        <f ca="1">VLOOKUP('Master Sheet'!E160,'Code Options'!$A$1:$R$7,9)</f>
        <v>State_Plan</v>
      </c>
      <c r="Q160" cm="1">
        <f t="array" aca="1" ref="Q160" ca="1">_xlfn.IFS(P160 ="State_Plan", RANDBETWEEN(1,23), P160 ="State_Code", RANDBETWEEN(1,23), P160 = "Fed_Code", 99, P160 = "Summ_Article", 999, P160 = "Guide", 999)</f>
        <v>7</v>
      </c>
      <c r="R160" t="str">
        <f ca="1">VLOOKUP(Q160,'States and Locations'!$A$1:$B$26,2)</f>
        <v>New Jersey</v>
      </c>
      <c r="S160">
        <f ca="1">VLOOKUP(Q160,'States and Locations'!$A$1:$D$26,3)</f>
        <v>39.833300000000001</v>
      </c>
      <c r="T160">
        <f ca="1">VLOOKUP(Q160,'States and Locations'!$A$1:$D$26,4)</f>
        <v>-74.866699999999994</v>
      </c>
      <c r="U160">
        <f t="shared" ca="1" si="30"/>
        <v>3</v>
      </c>
      <c r="V160" t="str">
        <f ca="1">VLOOKUP('Master Sheet'!E160,'Code Options'!$A$1:$R$7,10)</f>
        <v>Mitig.</v>
      </c>
      <c r="W160">
        <f t="shared" ca="1" si="31"/>
        <v>1</v>
      </c>
      <c r="X160" t="str">
        <f ca="1">VLOOKUP('Master Sheet'!E160,'Code Options'!$A$1:$R$7,11)</f>
        <v>Chart_Fish</v>
      </c>
      <c r="Y160">
        <f t="shared" ca="1" si="32"/>
        <v>1</v>
      </c>
      <c r="Z160" t="str">
        <f ca="1">VLOOKUP('Master Sheet'!E160,'Code Options'!$A$1:$R$7,12)</f>
        <v>Permit_reg_agencies</v>
      </c>
    </row>
    <row r="161" spans="1:26" x14ac:dyDescent="0.2">
      <c r="A161">
        <f t="shared" ca="1" si="22"/>
        <v>3</v>
      </c>
      <c r="B161" t="str">
        <f ca="1">VLOOKUP('Master Sheet'!A161,'Code Options'!$A$1:$B$7,2)</f>
        <v>Metal</v>
      </c>
      <c r="C161">
        <f t="shared" ca="1" si="23"/>
        <v>1</v>
      </c>
      <c r="D161" t="str">
        <f ca="1">VLOOKUP('Master Sheet'!C161,'Code Options'!$A$1:$R$7,3)</f>
        <v>Retro</v>
      </c>
      <c r="E161">
        <f t="shared" ca="1" si="24"/>
        <v>3</v>
      </c>
      <c r="F161" t="str">
        <f ca="1">VLOOKUP('Master Sheet'!E161,'Code Options'!$A$1:$R$7,4)</f>
        <v>Jon</v>
      </c>
      <c r="G161">
        <f t="shared" ca="1" si="25"/>
        <v>2</v>
      </c>
      <c r="H161" t="str">
        <f ca="1">VLOOKUP('Master Sheet'!E161,'Code Options'!$A$1:$R$7,5)</f>
        <v>Nick</v>
      </c>
      <c r="I161">
        <f t="shared" ca="1" si="26"/>
        <v>2</v>
      </c>
      <c r="J161" t="str">
        <f ca="1">VLOOKUP('Master Sheet'!G161,'Code Options'!$A$1:$R$7,6)</f>
        <v>State</v>
      </c>
      <c r="K161">
        <f t="shared" ca="1" si="27"/>
        <v>4</v>
      </c>
      <c r="L161" t="str">
        <f ca="1">VLOOKUP('Master Sheet'!I161,'Code Options'!$A$1:$R$7,7)</f>
        <v>Production</v>
      </c>
      <c r="M161">
        <f t="shared" ca="1" si="28"/>
        <v>5</v>
      </c>
      <c r="N161" t="str">
        <f ca="1">VLOOKUP('Master Sheet'!K161,'Code Options'!$A$1:$R$7,8)</f>
        <v>Creation of AR Mat</v>
      </c>
      <c r="O161">
        <f t="shared" ca="1" si="29"/>
        <v>3</v>
      </c>
      <c r="P161" t="str">
        <f ca="1">VLOOKUP('Master Sheet'!E161,'Code Options'!$A$1:$R$7,9)</f>
        <v>State_Plan</v>
      </c>
      <c r="Q161" cm="1">
        <f t="array" aca="1" ref="Q161" ca="1">_xlfn.IFS(P161 ="State_Plan", RANDBETWEEN(1,23), P161 ="State_Code", RANDBETWEEN(1,23), P161 = "Fed_Code", 99, P161 = "Summ_Article", 999, P161 = "Guide", 999)</f>
        <v>22</v>
      </c>
      <c r="R161" t="str">
        <f ca="1">VLOOKUP(Q161,'States and Locations'!$A$1:$B$26,2)</f>
        <v>Alaska</v>
      </c>
      <c r="S161">
        <f ca="1">VLOOKUP(Q161,'States and Locations'!$A$1:$D$26,3)</f>
        <v>64.7333</v>
      </c>
      <c r="T161">
        <f ca="1">VLOOKUP(Q161,'States and Locations'!$A$1:$D$26,4)</f>
        <v>-152.4667</v>
      </c>
      <c r="U161">
        <f t="shared" ca="1" si="30"/>
        <v>3</v>
      </c>
      <c r="V161" t="str">
        <f ca="1">VLOOKUP('Master Sheet'!E161,'Code Options'!$A$1:$R$7,10)</f>
        <v>Mitig.</v>
      </c>
      <c r="W161">
        <f t="shared" ca="1" si="31"/>
        <v>3</v>
      </c>
      <c r="X161" t="str">
        <f ca="1">VLOOKUP('Master Sheet'!E161,'Code Options'!$A$1:$R$7,11)</f>
        <v>Chart_Fish</v>
      </c>
      <c r="Y161">
        <f t="shared" ca="1" si="32"/>
        <v>1</v>
      </c>
      <c r="Z161" t="str">
        <f ca="1">VLOOKUP('Master Sheet'!E161,'Code Options'!$A$1:$R$7,12)</f>
        <v>Permit_reg_agencies</v>
      </c>
    </row>
    <row r="162" spans="1:26" x14ac:dyDescent="0.2">
      <c r="A162">
        <f t="shared" ca="1" si="22"/>
        <v>1</v>
      </c>
      <c r="B162" t="str">
        <f ca="1">VLOOKUP('Master Sheet'!A162,'Code Options'!$A$1:$B$7,2)</f>
        <v>Composite</v>
      </c>
      <c r="C162">
        <f t="shared" ca="1" si="23"/>
        <v>3</v>
      </c>
      <c r="D162" t="str">
        <f ca="1">VLOOKUP('Master Sheet'!C162,'Code Options'!$A$1:$R$7,3)</f>
        <v>Unsure</v>
      </c>
      <c r="E162">
        <f t="shared" ca="1" si="24"/>
        <v>3</v>
      </c>
      <c r="F162" t="str">
        <f ca="1">VLOOKUP('Master Sheet'!E162,'Code Options'!$A$1:$R$7,4)</f>
        <v>Jon</v>
      </c>
      <c r="G162">
        <f t="shared" ca="1" si="25"/>
        <v>1</v>
      </c>
      <c r="H162" t="str">
        <f ca="1">VLOOKUP('Master Sheet'!E162,'Code Options'!$A$1:$R$7,5)</f>
        <v>Nick</v>
      </c>
      <c r="I162">
        <f t="shared" ca="1" si="26"/>
        <v>3</v>
      </c>
      <c r="J162" t="str">
        <f ca="1">VLOOKUP('Master Sheet'!G162,'Code Options'!$A$1:$R$7,6)</f>
        <v>County/Local</v>
      </c>
      <c r="K162">
        <f t="shared" ca="1" si="27"/>
        <v>1</v>
      </c>
      <c r="L162" t="str">
        <f ca="1">VLOOKUP('Master Sheet'!I162,'Code Options'!$A$1:$R$7,7)</f>
        <v>Aggregation</v>
      </c>
      <c r="M162">
        <f t="shared" ca="1" si="28"/>
        <v>4</v>
      </c>
      <c r="N162" t="str">
        <f ca="1">VLOOKUP('Master Sheet'!K162,'Code Options'!$A$1:$R$7,8)</f>
        <v>Fish.Enhancement</v>
      </c>
      <c r="O162">
        <f t="shared" ca="1" si="29"/>
        <v>3</v>
      </c>
      <c r="P162" t="str">
        <f ca="1">VLOOKUP('Master Sheet'!E162,'Code Options'!$A$1:$R$7,9)</f>
        <v>State_Plan</v>
      </c>
      <c r="Q162" cm="1">
        <f t="array" aca="1" ref="Q162" ca="1">_xlfn.IFS(P162 ="State_Plan", RANDBETWEEN(1,23), P162 ="State_Code", RANDBETWEEN(1,23), P162 = "Fed_Code", 99, P162 = "Summ_Article", 999, P162 = "Guide", 999)</f>
        <v>10</v>
      </c>
      <c r="R162" t="str">
        <f ca="1">VLOOKUP(Q162,'States and Locations'!$A$1:$B$26,2)</f>
        <v>Virginia</v>
      </c>
      <c r="S162">
        <f ca="1">VLOOKUP(Q162,'States and Locations'!$A$1:$D$26,3)</f>
        <v>37.5167</v>
      </c>
      <c r="T162">
        <f ca="1">VLOOKUP(Q162,'States and Locations'!$A$1:$D$26,4)</f>
        <v>-78.633300000000006</v>
      </c>
      <c r="U162">
        <f t="shared" ca="1" si="30"/>
        <v>4</v>
      </c>
      <c r="V162" t="str">
        <f ca="1">VLOOKUP('Master Sheet'!E162,'Code Options'!$A$1:$R$7,10)</f>
        <v>Mitig.</v>
      </c>
      <c r="W162">
        <f t="shared" ca="1" si="31"/>
        <v>2</v>
      </c>
      <c r="X162" t="str">
        <f ca="1">VLOOKUP('Master Sheet'!E162,'Code Options'!$A$1:$R$7,11)</f>
        <v>Chart_Fish</v>
      </c>
      <c r="Y162">
        <f t="shared" ca="1" si="32"/>
        <v>5</v>
      </c>
      <c r="Z162" t="str">
        <f ca="1">VLOOKUP('Master Sheet'!E162,'Code Options'!$A$1:$R$7,12)</f>
        <v>Permit_reg_agencies</v>
      </c>
    </row>
    <row r="163" spans="1:26" x14ac:dyDescent="0.2">
      <c r="A163">
        <f t="shared" ca="1" si="22"/>
        <v>1</v>
      </c>
      <c r="B163" t="str">
        <f ca="1">VLOOKUP('Master Sheet'!A163,'Code Options'!$A$1:$B$7,2)</f>
        <v>Composite</v>
      </c>
      <c r="C163">
        <f t="shared" ca="1" si="23"/>
        <v>3</v>
      </c>
      <c r="D163" t="str">
        <f ca="1">VLOOKUP('Master Sheet'!C163,'Code Options'!$A$1:$R$7,3)</f>
        <v>Unsure</v>
      </c>
      <c r="E163">
        <f t="shared" ca="1" si="24"/>
        <v>2</v>
      </c>
      <c r="F163" t="str">
        <f ca="1">VLOOKUP('Master Sheet'!E163,'Code Options'!$A$1:$R$7,4)</f>
        <v>Cyndi</v>
      </c>
      <c r="G163">
        <f t="shared" ca="1" si="25"/>
        <v>3</v>
      </c>
      <c r="H163" t="str">
        <f ca="1">VLOOKUP('Master Sheet'!E163,'Code Options'!$A$1:$R$7,5)</f>
        <v>Cyndi</v>
      </c>
      <c r="I163">
        <f t="shared" ca="1" si="26"/>
        <v>3</v>
      </c>
      <c r="J163" t="str">
        <f ca="1">VLOOKUP('Master Sheet'!G163,'Code Options'!$A$1:$R$7,6)</f>
        <v>Regional</v>
      </c>
      <c r="K163">
        <f t="shared" ca="1" si="27"/>
        <v>4</v>
      </c>
      <c r="L163" t="str">
        <f ca="1">VLOOKUP('Master Sheet'!I163,'Code Options'!$A$1:$R$7,7)</f>
        <v>Aggregation</v>
      </c>
      <c r="M163">
        <f t="shared" ca="1" si="28"/>
        <v>3</v>
      </c>
      <c r="N163" t="str">
        <f ca="1">VLOOKUP('Master Sheet'!K163,'Code Options'!$A$1:$R$7,8)</f>
        <v>Creation of AR Mat</v>
      </c>
      <c r="O163">
        <f t="shared" ca="1" si="29"/>
        <v>1</v>
      </c>
      <c r="P163" t="str">
        <f ca="1">VLOOKUP('Master Sheet'!E163,'Code Options'!$A$1:$R$7,9)</f>
        <v>Fed_Code</v>
      </c>
      <c r="Q163" cm="1">
        <f t="array" aca="1" ref="Q163" ca="1">_xlfn.IFS(P163 ="State_Plan", RANDBETWEEN(1,23), P163 ="State_Code", RANDBETWEEN(1,23), P163 = "Fed_Code", 99, P163 = "Summ_Article", 999, P163 = "Guide", 999)</f>
        <v>99</v>
      </c>
      <c r="R163" t="str">
        <f ca="1">VLOOKUP(Q163,'States and Locations'!$A$1:$B$26,2)</f>
        <v>National</v>
      </c>
      <c r="S163">
        <f ca="1">VLOOKUP(Q163,'States and Locations'!$A$1:$D$26,3)</f>
        <v>39.833300000000001</v>
      </c>
      <c r="T163">
        <f ca="1">VLOOKUP(Q163,'States and Locations'!$A$1:$D$26,4)</f>
        <v>-98.583299999999994</v>
      </c>
      <c r="U163">
        <f t="shared" ca="1" si="30"/>
        <v>1</v>
      </c>
      <c r="V163" t="str">
        <f ca="1">VLOOKUP('Master Sheet'!E163,'Code Options'!$A$1:$R$7,10)</f>
        <v>Disposal</v>
      </c>
      <c r="W163">
        <f t="shared" ca="1" si="31"/>
        <v>4</v>
      </c>
      <c r="X163" t="str">
        <f ca="1">VLOOKUP('Master Sheet'!E163,'Code Options'!$A$1:$R$7,11)</f>
        <v>Comm_Fish</v>
      </c>
      <c r="Y163">
        <f t="shared" ca="1" si="32"/>
        <v>3</v>
      </c>
      <c r="Z163" t="str">
        <f ca="1">VLOOKUP('Master Sheet'!E163,'Code Options'!$A$1:$R$7,12)</f>
        <v>AS_constructors</v>
      </c>
    </row>
    <row r="164" spans="1:26" x14ac:dyDescent="0.2">
      <c r="A164">
        <f t="shared" ca="1" si="22"/>
        <v>4</v>
      </c>
      <c r="B164" t="str">
        <f ca="1">VLOOKUP('Master Sheet'!A164,'Code Options'!$A$1:$B$7,2)</f>
        <v>Other</v>
      </c>
      <c r="C164">
        <f t="shared" ca="1" si="23"/>
        <v>1</v>
      </c>
      <c r="D164" t="str">
        <f ca="1">VLOOKUP('Master Sheet'!C164,'Code Options'!$A$1:$R$7,3)</f>
        <v>Retro</v>
      </c>
      <c r="E164">
        <f t="shared" ca="1" si="24"/>
        <v>2</v>
      </c>
      <c r="F164" t="str">
        <f ca="1">VLOOKUP('Master Sheet'!E164,'Code Options'!$A$1:$R$7,4)</f>
        <v>Cyndi</v>
      </c>
      <c r="G164">
        <f t="shared" ca="1" si="25"/>
        <v>3</v>
      </c>
      <c r="H164" t="str">
        <f ca="1">VLOOKUP('Master Sheet'!E164,'Code Options'!$A$1:$R$7,5)</f>
        <v>Cyndi</v>
      </c>
      <c r="I164">
        <f t="shared" ca="1" si="26"/>
        <v>4</v>
      </c>
      <c r="J164" t="str">
        <f ca="1">VLOOKUP('Master Sheet'!G164,'Code Options'!$A$1:$R$7,6)</f>
        <v>Regional</v>
      </c>
      <c r="K164">
        <f t="shared" ca="1" si="27"/>
        <v>4</v>
      </c>
      <c r="L164" t="str">
        <f ca="1">VLOOKUP('Master Sheet'!I164,'Code Options'!$A$1:$R$7,7)</f>
        <v>Biodiversity</v>
      </c>
      <c r="M164">
        <f t="shared" ca="1" si="28"/>
        <v>1</v>
      </c>
      <c r="N164" t="str">
        <f ca="1">VLOOKUP('Master Sheet'!K164,'Code Options'!$A$1:$R$7,8)</f>
        <v>Creation of AR Mat</v>
      </c>
      <c r="O164">
        <f t="shared" ca="1" si="29"/>
        <v>4</v>
      </c>
      <c r="P164" t="str">
        <f ca="1">VLOOKUP('Master Sheet'!E164,'Code Options'!$A$1:$R$7,9)</f>
        <v>Fed_Code</v>
      </c>
      <c r="Q164" cm="1">
        <f t="array" aca="1" ref="Q164" ca="1">_xlfn.IFS(P164 ="State_Plan", RANDBETWEEN(1,23), P164 ="State_Code", RANDBETWEEN(1,23), P164 = "Fed_Code", 99, P164 = "Summ_Article", 999, P164 = "Guide", 999)</f>
        <v>99</v>
      </c>
      <c r="R164" t="str">
        <f ca="1">VLOOKUP(Q164,'States and Locations'!$A$1:$B$26,2)</f>
        <v>National</v>
      </c>
      <c r="S164">
        <f ca="1">VLOOKUP(Q164,'States and Locations'!$A$1:$D$26,3)</f>
        <v>39.833300000000001</v>
      </c>
      <c r="T164">
        <f ca="1">VLOOKUP(Q164,'States and Locations'!$A$1:$D$26,4)</f>
        <v>-98.583299999999994</v>
      </c>
      <c r="U164">
        <f t="shared" ca="1" si="30"/>
        <v>2</v>
      </c>
      <c r="V164" t="str">
        <f ca="1">VLOOKUP('Master Sheet'!E164,'Code Options'!$A$1:$R$7,10)</f>
        <v>Disposal</v>
      </c>
      <c r="W164">
        <f t="shared" ca="1" si="31"/>
        <v>1</v>
      </c>
      <c r="X164" t="str">
        <f ca="1">VLOOKUP('Master Sheet'!E164,'Code Options'!$A$1:$R$7,11)</f>
        <v>Comm_Fish</v>
      </c>
      <c r="Y164">
        <f t="shared" ca="1" si="32"/>
        <v>1</v>
      </c>
      <c r="Z164" t="str">
        <f ca="1">VLOOKUP('Master Sheet'!E164,'Code Options'!$A$1:$R$7,12)</f>
        <v>AS_constructors</v>
      </c>
    </row>
    <row r="165" spans="1:26" x14ac:dyDescent="0.2">
      <c r="A165">
        <f t="shared" ca="1" si="22"/>
        <v>4</v>
      </c>
      <c r="B165" t="str">
        <f ca="1">VLOOKUP('Master Sheet'!A165,'Code Options'!$A$1:$B$7,2)</f>
        <v>Other</v>
      </c>
      <c r="C165">
        <f t="shared" ca="1" si="23"/>
        <v>3</v>
      </c>
      <c r="D165" t="str">
        <f ca="1">VLOOKUP('Master Sheet'!C165,'Code Options'!$A$1:$R$7,3)</f>
        <v>Unsure</v>
      </c>
      <c r="E165">
        <f t="shared" ca="1" si="24"/>
        <v>5</v>
      </c>
      <c r="F165" t="str">
        <f ca="1">VLOOKUP('Master Sheet'!E165,'Code Options'!$A$1:$R$7,4)</f>
        <v>Nick</v>
      </c>
      <c r="G165">
        <f t="shared" ca="1" si="25"/>
        <v>3</v>
      </c>
      <c r="H165">
        <f ca="1">VLOOKUP('Master Sheet'!E165,'Code Options'!$A$1:$R$7,5)</f>
        <v>0</v>
      </c>
      <c r="I165">
        <f t="shared" ca="1" si="26"/>
        <v>4</v>
      </c>
      <c r="J165" t="str">
        <f ca="1">VLOOKUP('Master Sheet'!G165,'Code Options'!$A$1:$R$7,6)</f>
        <v>Regional</v>
      </c>
      <c r="K165">
        <f t="shared" ca="1" si="27"/>
        <v>4</v>
      </c>
      <c r="L165" t="str">
        <f ca="1">VLOOKUP('Master Sheet'!I165,'Code Options'!$A$1:$R$7,7)</f>
        <v>Biodiversity</v>
      </c>
      <c r="M165">
        <f t="shared" ca="1" si="28"/>
        <v>4</v>
      </c>
      <c r="N165" t="str">
        <f ca="1">VLOOKUP('Master Sheet'!K165,'Code Options'!$A$1:$R$7,8)</f>
        <v>Creation of AR Mat</v>
      </c>
      <c r="O165">
        <f t="shared" ca="1" si="29"/>
        <v>5</v>
      </c>
      <c r="P165" t="str">
        <f ca="1">VLOOKUP('Master Sheet'!E165,'Code Options'!$A$1:$R$7,9)</f>
        <v>Guide</v>
      </c>
      <c r="Q165" cm="1">
        <f t="array" aca="1" ref="Q165" ca="1">_xlfn.IFS(P165 ="State_Plan", RANDBETWEEN(1,23), P165 ="State_Code", RANDBETWEEN(1,23), P165 = "Fed_Code", 99, P165 = "Summ_Article", 999, P165 = "Guide", 999)</f>
        <v>999</v>
      </c>
      <c r="R165" t="str">
        <f ca="1">VLOOKUP(Q165,'States and Locations'!$A$1:$B$26,2)</f>
        <v>UNK</v>
      </c>
      <c r="S165">
        <f ca="1">VLOOKUP(Q165,'States and Locations'!$A$1:$D$26,3)</f>
        <v>25</v>
      </c>
      <c r="T165">
        <f ca="1">VLOOKUP(Q165,'States and Locations'!$A$1:$D$26,4)</f>
        <v>-90</v>
      </c>
      <c r="U165">
        <f t="shared" ca="1" si="30"/>
        <v>1</v>
      </c>
      <c r="V165" t="str">
        <f ca="1">VLOOKUP('Master Sheet'!E165,'Code Options'!$A$1:$R$7,10)</f>
        <v>Wave_attenuation</v>
      </c>
      <c r="W165">
        <f t="shared" ca="1" si="31"/>
        <v>1</v>
      </c>
      <c r="X165" t="str">
        <f ca="1">VLOOKUP('Master Sheet'!E165,'Code Options'!$A$1:$R$7,11)</f>
        <v>Scuba</v>
      </c>
      <c r="Y165">
        <f t="shared" ca="1" si="32"/>
        <v>4</v>
      </c>
      <c r="Z165" t="str">
        <f ca="1">VLOOKUP('Master Sheet'!E165,'Code Options'!$A$1:$R$7,12)</f>
        <v>anglers</v>
      </c>
    </row>
    <row r="166" spans="1:26" x14ac:dyDescent="0.2">
      <c r="A166">
        <f t="shared" ca="1" si="22"/>
        <v>5</v>
      </c>
      <c r="B166" t="str">
        <f ca="1">VLOOKUP('Master Sheet'!A166,'Code Options'!$A$1:$B$7,2)</f>
        <v>Rock</v>
      </c>
      <c r="C166">
        <f t="shared" ca="1" si="23"/>
        <v>1</v>
      </c>
      <c r="D166" t="str">
        <f ca="1">VLOOKUP('Master Sheet'!C166,'Code Options'!$A$1:$R$7,3)</f>
        <v>Retro</v>
      </c>
      <c r="E166">
        <f t="shared" ca="1" si="24"/>
        <v>1</v>
      </c>
      <c r="F166" t="str">
        <f ca="1">VLOOKUP('Master Sheet'!E166,'Code Options'!$A$1:$R$7,4)</f>
        <v>Will</v>
      </c>
      <c r="G166">
        <f t="shared" ca="1" si="25"/>
        <v>1</v>
      </c>
      <c r="H166" t="str">
        <f ca="1">VLOOKUP('Master Sheet'!E166,'Code Options'!$A$1:$R$7,5)</f>
        <v>Will</v>
      </c>
      <c r="I166">
        <f t="shared" ca="1" si="26"/>
        <v>3</v>
      </c>
      <c r="J166" t="str">
        <f ca="1">VLOOKUP('Master Sheet'!G166,'Code Options'!$A$1:$R$7,6)</f>
        <v>County/Local</v>
      </c>
      <c r="K166">
        <f t="shared" ca="1" si="27"/>
        <v>3</v>
      </c>
      <c r="L166" t="str">
        <f ca="1">VLOOKUP('Master Sheet'!I166,'Code Options'!$A$1:$R$7,7)</f>
        <v>Aggregation</v>
      </c>
      <c r="M166">
        <f t="shared" ca="1" si="28"/>
        <v>1</v>
      </c>
      <c r="N166" t="str">
        <f ca="1">VLOOKUP('Master Sheet'!K166,'Code Options'!$A$1:$R$7,8)</f>
        <v>Rec.Fish.Mngmt</v>
      </c>
      <c r="O166">
        <f t="shared" ca="1" si="29"/>
        <v>1</v>
      </c>
      <c r="P166" t="str">
        <f ca="1">VLOOKUP('Master Sheet'!E166,'Code Options'!$A$1:$R$7,9)</f>
        <v>State_Code</v>
      </c>
      <c r="Q166" cm="1">
        <f t="array" aca="1" ref="Q166" ca="1">_xlfn.IFS(P166 ="State_Plan", RANDBETWEEN(1,23), P166 ="State_Code", RANDBETWEEN(1,23), P166 = "Fed_Code", 99, P166 = "Summ_Article", 999, P166 = "Guide", 999)</f>
        <v>11</v>
      </c>
      <c r="R166" t="str">
        <f ca="1">VLOOKUP(Q166,'States and Locations'!$A$1:$B$26,2)</f>
        <v>North Carolina</v>
      </c>
      <c r="S166">
        <f ca="1">VLOOKUP(Q166,'States and Locations'!$A$1:$D$26,3)</f>
        <v>35.783299999999997</v>
      </c>
      <c r="T166">
        <f ca="1">VLOOKUP(Q166,'States and Locations'!$A$1:$D$26,4)</f>
        <v>-79.816699999999997</v>
      </c>
      <c r="U166">
        <f t="shared" ca="1" si="30"/>
        <v>4</v>
      </c>
      <c r="V166" t="str">
        <f ca="1">VLOOKUP('Master Sheet'!E166,'Code Options'!$A$1:$R$7,10)</f>
        <v>Hab_enhancement</v>
      </c>
      <c r="W166">
        <f t="shared" ca="1" si="31"/>
        <v>2</v>
      </c>
      <c r="X166" t="str">
        <f ca="1">VLOOKUP('Master Sheet'!E166,'Code Options'!$A$1:$R$7,11)</f>
        <v>Rec_Fish</v>
      </c>
      <c r="Y166">
        <f t="shared" ca="1" si="32"/>
        <v>3</v>
      </c>
      <c r="Z166" t="str">
        <f ca="1">VLOOKUP('Master Sheet'!E166,'Code Options'!$A$1:$R$7,12)</f>
        <v>AR_proj_plan_mngrs</v>
      </c>
    </row>
    <row r="167" spans="1:26" x14ac:dyDescent="0.2">
      <c r="A167">
        <f t="shared" ca="1" si="22"/>
        <v>2</v>
      </c>
      <c r="B167" t="str">
        <f ca="1">VLOOKUP('Master Sheet'!A167,'Code Options'!$A$1:$B$7,2)</f>
        <v>Concrete</v>
      </c>
      <c r="C167">
        <f t="shared" ca="1" si="23"/>
        <v>3</v>
      </c>
      <c r="D167" t="str">
        <f ca="1">VLOOKUP('Master Sheet'!C167,'Code Options'!$A$1:$R$7,3)</f>
        <v>Unsure</v>
      </c>
      <c r="E167">
        <f t="shared" ca="1" si="24"/>
        <v>3</v>
      </c>
      <c r="F167" t="str">
        <f ca="1">VLOOKUP('Master Sheet'!E167,'Code Options'!$A$1:$R$7,4)</f>
        <v>Jon</v>
      </c>
      <c r="G167">
        <f t="shared" ca="1" si="25"/>
        <v>2</v>
      </c>
      <c r="H167" t="str">
        <f ca="1">VLOOKUP('Master Sheet'!E167,'Code Options'!$A$1:$R$7,5)</f>
        <v>Nick</v>
      </c>
      <c r="I167">
        <f t="shared" ca="1" si="26"/>
        <v>3</v>
      </c>
      <c r="J167" t="str">
        <f ca="1">VLOOKUP('Master Sheet'!G167,'Code Options'!$A$1:$R$7,6)</f>
        <v>State</v>
      </c>
      <c r="K167">
        <f t="shared" ca="1" si="27"/>
        <v>1</v>
      </c>
      <c r="L167" t="str">
        <f ca="1">VLOOKUP('Master Sheet'!I167,'Code Options'!$A$1:$R$7,7)</f>
        <v>Aggregation</v>
      </c>
      <c r="M167">
        <f t="shared" ca="1" si="28"/>
        <v>2</v>
      </c>
      <c r="N167" t="str">
        <f ca="1">VLOOKUP('Master Sheet'!K167,'Code Options'!$A$1:$R$7,8)</f>
        <v>Fish.Enhancement</v>
      </c>
      <c r="O167">
        <f t="shared" ca="1" si="29"/>
        <v>2</v>
      </c>
      <c r="P167" t="str">
        <f ca="1">VLOOKUP('Master Sheet'!E167,'Code Options'!$A$1:$R$7,9)</f>
        <v>State_Plan</v>
      </c>
      <c r="Q167" cm="1">
        <f t="array" aca="1" ref="Q167" ca="1">_xlfn.IFS(P167 ="State_Plan", RANDBETWEEN(1,23), P167 ="State_Code", RANDBETWEEN(1,23), P167 = "Fed_Code", 99, P167 = "Summ_Article", 999, P167 = "Guide", 999)</f>
        <v>4</v>
      </c>
      <c r="R167" t="str">
        <f ca="1">VLOOKUP(Q167,'States and Locations'!$A$1:$B$26,2)</f>
        <v>Rhode Island</v>
      </c>
      <c r="S167">
        <f ca="1">VLOOKUP(Q167,'States and Locations'!$A$1:$D$26,3)</f>
        <v>41.666699999999999</v>
      </c>
      <c r="T167">
        <f ca="1">VLOOKUP(Q167,'States and Locations'!$A$1:$D$26,4)</f>
        <v>-71.5</v>
      </c>
      <c r="U167">
        <f t="shared" ca="1" si="30"/>
        <v>3</v>
      </c>
      <c r="V167" t="str">
        <f ca="1">VLOOKUP('Master Sheet'!E167,'Code Options'!$A$1:$R$7,10)</f>
        <v>Mitig.</v>
      </c>
      <c r="W167">
        <f t="shared" ca="1" si="31"/>
        <v>1</v>
      </c>
      <c r="X167" t="str">
        <f ca="1">VLOOKUP('Master Sheet'!E167,'Code Options'!$A$1:$R$7,11)</f>
        <v>Chart_Fish</v>
      </c>
      <c r="Y167">
        <f t="shared" ca="1" si="32"/>
        <v>3</v>
      </c>
      <c r="Z167" t="str">
        <f ca="1">VLOOKUP('Master Sheet'!E167,'Code Options'!$A$1:$R$7,12)</f>
        <v>Permit_reg_agencies</v>
      </c>
    </row>
    <row r="168" spans="1:26" x14ac:dyDescent="0.2">
      <c r="A168">
        <f t="shared" ca="1" si="22"/>
        <v>2</v>
      </c>
      <c r="B168" t="str">
        <f ca="1">VLOOKUP('Master Sheet'!A168,'Code Options'!$A$1:$B$7,2)</f>
        <v>Concrete</v>
      </c>
      <c r="C168">
        <f t="shared" ca="1" si="23"/>
        <v>1</v>
      </c>
      <c r="D168" t="str">
        <f ca="1">VLOOKUP('Master Sheet'!C168,'Code Options'!$A$1:$R$7,3)</f>
        <v>Retro</v>
      </c>
      <c r="E168">
        <f t="shared" ca="1" si="24"/>
        <v>4</v>
      </c>
      <c r="F168" t="str">
        <f ca="1">VLOOKUP('Master Sheet'!E168,'Code Options'!$A$1:$R$7,4)</f>
        <v>LM</v>
      </c>
      <c r="G168">
        <f t="shared" ca="1" si="25"/>
        <v>2</v>
      </c>
      <c r="H168">
        <f ca="1">VLOOKUP('Master Sheet'!E168,'Code Options'!$A$1:$R$7,5)</f>
        <v>0</v>
      </c>
      <c r="I168">
        <f t="shared" ca="1" si="26"/>
        <v>2</v>
      </c>
      <c r="J168" t="str">
        <f ca="1">VLOOKUP('Master Sheet'!G168,'Code Options'!$A$1:$R$7,6)</f>
        <v>State</v>
      </c>
      <c r="K168">
        <f t="shared" ca="1" si="27"/>
        <v>2</v>
      </c>
      <c r="L168" t="str">
        <f ca="1">VLOOKUP('Master Sheet'!I168,'Code Options'!$A$1:$R$7,7)</f>
        <v>Production</v>
      </c>
      <c r="M168">
        <f t="shared" ca="1" si="28"/>
        <v>4</v>
      </c>
      <c r="N168" t="str">
        <f ca="1">VLOOKUP('Master Sheet'!K168,'Code Options'!$A$1:$R$7,8)</f>
        <v>Comm.Fish.Mngmt</v>
      </c>
      <c r="O168">
        <f t="shared" ca="1" si="29"/>
        <v>2</v>
      </c>
      <c r="P168" t="str">
        <f ca="1">VLOOKUP('Master Sheet'!E168,'Code Options'!$A$1:$R$7,9)</f>
        <v>Summ_Article</v>
      </c>
      <c r="Q168" cm="1">
        <f t="array" aca="1" ref="Q168" ca="1">_xlfn.IFS(P168 ="State_Plan", RANDBETWEEN(1,23), P168 ="State_Code", RANDBETWEEN(1,23), P168 = "Fed_Code", 99, P168 = "Summ_Article", 999, P168 = "Guide", 999)</f>
        <v>999</v>
      </c>
      <c r="R168" t="str">
        <f ca="1">VLOOKUP(Q168,'States and Locations'!$A$1:$B$26,2)</f>
        <v>UNK</v>
      </c>
      <c r="S168">
        <f ca="1">VLOOKUP(Q168,'States and Locations'!$A$1:$D$26,3)</f>
        <v>25</v>
      </c>
      <c r="T168">
        <f ca="1">VLOOKUP(Q168,'States and Locations'!$A$1:$D$26,4)</f>
        <v>-90</v>
      </c>
      <c r="U168">
        <f t="shared" ca="1" si="30"/>
        <v>1</v>
      </c>
      <c r="V168" t="str">
        <f ca="1">VLOOKUP('Master Sheet'!E168,'Code Options'!$A$1:$R$7,10)</f>
        <v>Hab_restoration</v>
      </c>
      <c r="W168">
        <f t="shared" ca="1" si="31"/>
        <v>3</v>
      </c>
      <c r="X168" t="str">
        <f ca="1">VLOOKUP('Master Sheet'!E168,'Code Options'!$A$1:$R$7,11)</f>
        <v>Non-Fish_rec</v>
      </c>
      <c r="Y168">
        <f t="shared" ca="1" si="32"/>
        <v>4</v>
      </c>
      <c r="Z168" t="str">
        <f ca="1">VLOOKUP('Master Sheet'!E168,'Code Options'!$A$1:$R$7,12)</f>
        <v>people_interested</v>
      </c>
    </row>
    <row r="169" spans="1:26" x14ac:dyDescent="0.2">
      <c r="A169">
        <f t="shared" ca="1" si="22"/>
        <v>1</v>
      </c>
      <c r="B169" t="str">
        <f ca="1">VLOOKUP('Master Sheet'!A169,'Code Options'!$A$1:$B$7,2)</f>
        <v>Composite</v>
      </c>
      <c r="C169">
        <f t="shared" ca="1" si="23"/>
        <v>1</v>
      </c>
      <c r="D169" t="str">
        <f ca="1">VLOOKUP('Master Sheet'!C169,'Code Options'!$A$1:$R$7,3)</f>
        <v>Retro</v>
      </c>
      <c r="E169">
        <f t="shared" ca="1" si="24"/>
        <v>4</v>
      </c>
      <c r="F169" t="str">
        <f ca="1">VLOOKUP('Master Sheet'!E169,'Code Options'!$A$1:$R$7,4)</f>
        <v>LM</v>
      </c>
      <c r="G169">
        <f t="shared" ca="1" si="25"/>
        <v>3</v>
      </c>
      <c r="H169">
        <f ca="1">VLOOKUP('Master Sheet'!E169,'Code Options'!$A$1:$R$7,5)</f>
        <v>0</v>
      </c>
      <c r="I169">
        <f t="shared" ca="1" si="26"/>
        <v>3</v>
      </c>
      <c r="J169" t="str">
        <f ca="1">VLOOKUP('Master Sheet'!G169,'Code Options'!$A$1:$R$7,6)</f>
        <v>Regional</v>
      </c>
      <c r="K169">
        <f t="shared" ca="1" si="27"/>
        <v>4</v>
      </c>
      <c r="L169" t="str">
        <f ca="1">VLOOKUP('Master Sheet'!I169,'Code Options'!$A$1:$R$7,7)</f>
        <v>Aggregation</v>
      </c>
      <c r="M169">
        <f t="shared" ca="1" si="28"/>
        <v>2</v>
      </c>
      <c r="N169" t="str">
        <f ca="1">VLOOKUP('Master Sheet'!K169,'Code Options'!$A$1:$R$7,8)</f>
        <v>Creation of AR Mat</v>
      </c>
      <c r="O169">
        <f t="shared" ca="1" si="29"/>
        <v>4</v>
      </c>
      <c r="P169" t="str">
        <f ca="1">VLOOKUP('Master Sheet'!E169,'Code Options'!$A$1:$R$7,9)</f>
        <v>Summ_Article</v>
      </c>
      <c r="Q169" cm="1">
        <f t="array" aca="1" ref="Q169" ca="1">_xlfn.IFS(P169 ="State_Plan", RANDBETWEEN(1,23), P169 ="State_Code", RANDBETWEEN(1,23), P169 = "Fed_Code", 99, P169 = "Summ_Article", 999, P169 = "Guide", 999)</f>
        <v>999</v>
      </c>
      <c r="R169" t="str">
        <f ca="1">VLOOKUP(Q169,'States and Locations'!$A$1:$B$26,2)</f>
        <v>UNK</v>
      </c>
      <c r="S169">
        <f ca="1">VLOOKUP(Q169,'States and Locations'!$A$1:$D$26,3)</f>
        <v>25</v>
      </c>
      <c r="T169">
        <f ca="1">VLOOKUP(Q169,'States and Locations'!$A$1:$D$26,4)</f>
        <v>-90</v>
      </c>
      <c r="U169">
        <f t="shared" ca="1" si="30"/>
        <v>2</v>
      </c>
      <c r="V169" t="str">
        <f ca="1">VLOOKUP('Master Sheet'!E169,'Code Options'!$A$1:$R$7,10)</f>
        <v>Hab_restoration</v>
      </c>
      <c r="W169">
        <f t="shared" ca="1" si="31"/>
        <v>2</v>
      </c>
      <c r="X169" t="str">
        <f ca="1">VLOOKUP('Master Sheet'!E169,'Code Options'!$A$1:$R$7,11)</f>
        <v>Non-Fish_rec</v>
      </c>
      <c r="Y169">
        <f t="shared" ca="1" si="32"/>
        <v>4</v>
      </c>
      <c r="Z169" t="str">
        <f ca="1">VLOOKUP('Master Sheet'!E169,'Code Options'!$A$1:$R$7,12)</f>
        <v>people_interested</v>
      </c>
    </row>
    <row r="170" spans="1:26" x14ac:dyDescent="0.2">
      <c r="A170">
        <f t="shared" ca="1" si="22"/>
        <v>2</v>
      </c>
      <c r="B170" t="str">
        <f ca="1">VLOOKUP('Master Sheet'!A170,'Code Options'!$A$1:$B$7,2)</f>
        <v>Concrete</v>
      </c>
      <c r="C170">
        <f t="shared" ca="1" si="23"/>
        <v>2</v>
      </c>
      <c r="D170" t="str">
        <f ca="1">VLOOKUP('Master Sheet'!C170,'Code Options'!$A$1:$R$7,3)</f>
        <v>Pro</v>
      </c>
      <c r="E170">
        <f t="shared" ca="1" si="24"/>
        <v>5</v>
      </c>
      <c r="F170" t="str">
        <f ca="1">VLOOKUP('Master Sheet'!E170,'Code Options'!$A$1:$R$7,4)</f>
        <v>Nick</v>
      </c>
      <c r="G170">
        <f t="shared" ca="1" si="25"/>
        <v>1</v>
      </c>
      <c r="H170">
        <f ca="1">VLOOKUP('Master Sheet'!E170,'Code Options'!$A$1:$R$7,5)</f>
        <v>0</v>
      </c>
      <c r="I170">
        <f t="shared" ca="1" si="26"/>
        <v>2</v>
      </c>
      <c r="J170" t="str">
        <f ca="1">VLOOKUP('Master Sheet'!G170,'Code Options'!$A$1:$R$7,6)</f>
        <v>County/Local</v>
      </c>
      <c r="K170">
        <f t="shared" ca="1" si="27"/>
        <v>4</v>
      </c>
      <c r="L170" t="str">
        <f ca="1">VLOOKUP('Master Sheet'!I170,'Code Options'!$A$1:$R$7,7)</f>
        <v>Production</v>
      </c>
      <c r="M170">
        <f t="shared" ca="1" si="28"/>
        <v>5</v>
      </c>
      <c r="N170" t="str">
        <f ca="1">VLOOKUP('Master Sheet'!K170,'Code Options'!$A$1:$R$7,8)</f>
        <v>Creation of AR Mat</v>
      </c>
      <c r="O170">
        <f t="shared" ca="1" si="29"/>
        <v>2</v>
      </c>
      <c r="P170" t="str">
        <f ca="1">VLOOKUP('Master Sheet'!E170,'Code Options'!$A$1:$R$7,9)</f>
        <v>Guide</v>
      </c>
      <c r="Q170" cm="1">
        <f t="array" aca="1" ref="Q170" ca="1">_xlfn.IFS(P170 ="State_Plan", RANDBETWEEN(1,23), P170 ="State_Code", RANDBETWEEN(1,23), P170 = "Fed_Code", 99, P170 = "Summ_Article", 999, P170 = "Guide", 999)</f>
        <v>999</v>
      </c>
      <c r="R170" t="str">
        <f ca="1">VLOOKUP(Q170,'States and Locations'!$A$1:$B$26,2)</f>
        <v>UNK</v>
      </c>
      <c r="S170">
        <f ca="1">VLOOKUP(Q170,'States and Locations'!$A$1:$D$26,3)</f>
        <v>25</v>
      </c>
      <c r="T170">
        <f ca="1">VLOOKUP(Q170,'States and Locations'!$A$1:$D$26,4)</f>
        <v>-90</v>
      </c>
      <c r="U170">
        <f t="shared" ca="1" si="30"/>
        <v>2</v>
      </c>
      <c r="V170" t="str">
        <f ca="1">VLOOKUP('Master Sheet'!E170,'Code Options'!$A$1:$R$7,10)</f>
        <v>Wave_attenuation</v>
      </c>
      <c r="W170">
        <f t="shared" ca="1" si="31"/>
        <v>4</v>
      </c>
      <c r="X170" t="str">
        <f ca="1">VLOOKUP('Master Sheet'!E170,'Code Options'!$A$1:$R$7,11)</f>
        <v>Scuba</v>
      </c>
      <c r="Y170">
        <f t="shared" ca="1" si="32"/>
        <v>3</v>
      </c>
      <c r="Z170" t="str">
        <f ca="1">VLOOKUP('Master Sheet'!E170,'Code Options'!$A$1:$R$7,12)</f>
        <v>anglers</v>
      </c>
    </row>
    <row r="171" spans="1:26" x14ac:dyDescent="0.2">
      <c r="A171">
        <f t="shared" ca="1" si="22"/>
        <v>5</v>
      </c>
      <c r="B171" t="str">
        <f ca="1">VLOOKUP('Master Sheet'!A171,'Code Options'!$A$1:$B$7,2)</f>
        <v>Rock</v>
      </c>
      <c r="C171">
        <f t="shared" ca="1" si="23"/>
        <v>2</v>
      </c>
      <c r="D171" t="str">
        <f ca="1">VLOOKUP('Master Sheet'!C171,'Code Options'!$A$1:$R$7,3)</f>
        <v>Pro</v>
      </c>
      <c r="E171">
        <f t="shared" ca="1" si="24"/>
        <v>1</v>
      </c>
      <c r="F171" t="str">
        <f ca="1">VLOOKUP('Master Sheet'!E171,'Code Options'!$A$1:$R$7,4)</f>
        <v>Will</v>
      </c>
      <c r="G171">
        <f t="shared" ca="1" si="25"/>
        <v>2</v>
      </c>
      <c r="H171" t="str">
        <f ca="1">VLOOKUP('Master Sheet'!E171,'Code Options'!$A$1:$R$7,5)</f>
        <v>Will</v>
      </c>
      <c r="I171">
        <f t="shared" ca="1" si="26"/>
        <v>2</v>
      </c>
      <c r="J171" t="str">
        <f ca="1">VLOOKUP('Master Sheet'!G171,'Code Options'!$A$1:$R$7,6)</f>
        <v>State</v>
      </c>
      <c r="K171">
        <f t="shared" ca="1" si="27"/>
        <v>1</v>
      </c>
      <c r="L171" t="str">
        <f ca="1">VLOOKUP('Master Sheet'!I171,'Code Options'!$A$1:$R$7,7)</f>
        <v>Production</v>
      </c>
      <c r="M171">
        <f t="shared" ca="1" si="28"/>
        <v>4</v>
      </c>
      <c r="N171" t="str">
        <f ca="1">VLOOKUP('Master Sheet'!K171,'Code Options'!$A$1:$R$7,8)</f>
        <v>Fish.Enhancement</v>
      </c>
      <c r="O171">
        <f t="shared" ca="1" si="29"/>
        <v>2</v>
      </c>
      <c r="P171" t="str">
        <f ca="1">VLOOKUP('Master Sheet'!E171,'Code Options'!$A$1:$R$7,9)</f>
        <v>State_Code</v>
      </c>
      <c r="Q171" cm="1">
        <f t="array" aca="1" ref="Q171" ca="1">_xlfn.IFS(P171 ="State_Plan", RANDBETWEEN(1,23), P171 ="State_Code", RANDBETWEEN(1,23), P171 = "Fed_Code", 99, P171 = "Summ_Article", 999, P171 = "Guide", 999)</f>
        <v>16</v>
      </c>
      <c r="R171" t="str">
        <f ca="1">VLOOKUP(Q171,'States and Locations'!$A$1:$B$26,2)</f>
        <v>Louisiana</v>
      </c>
      <c r="S171">
        <f ca="1">VLOOKUP(Q171,'States and Locations'!$A$1:$D$26,3)</f>
        <v>30.4</v>
      </c>
      <c r="T171">
        <f ca="1">VLOOKUP(Q171,'States and Locations'!$A$1:$D$26,4)</f>
        <v>-92.333299999999994</v>
      </c>
      <c r="U171">
        <f t="shared" ca="1" si="30"/>
        <v>5</v>
      </c>
      <c r="V171" t="str">
        <f ca="1">VLOOKUP('Master Sheet'!E171,'Code Options'!$A$1:$R$7,10)</f>
        <v>Hab_enhancement</v>
      </c>
      <c r="W171">
        <f t="shared" ca="1" si="31"/>
        <v>3</v>
      </c>
      <c r="X171" t="str">
        <f ca="1">VLOOKUP('Master Sheet'!E171,'Code Options'!$A$1:$R$7,11)</f>
        <v>Rec_Fish</v>
      </c>
      <c r="Y171">
        <f t="shared" ca="1" si="32"/>
        <v>5</v>
      </c>
      <c r="Z171" t="str">
        <f ca="1">VLOOKUP('Master Sheet'!E171,'Code Options'!$A$1:$R$7,12)</f>
        <v>AR_proj_plan_mngrs</v>
      </c>
    </row>
    <row r="172" spans="1:26" x14ac:dyDescent="0.2">
      <c r="A172">
        <f t="shared" ca="1" si="22"/>
        <v>4</v>
      </c>
      <c r="B172" t="str">
        <f ca="1">VLOOKUP('Master Sheet'!A172,'Code Options'!$A$1:$B$7,2)</f>
        <v>Other</v>
      </c>
      <c r="C172">
        <f t="shared" ca="1" si="23"/>
        <v>3</v>
      </c>
      <c r="D172" t="str">
        <f ca="1">VLOOKUP('Master Sheet'!C172,'Code Options'!$A$1:$R$7,3)</f>
        <v>Unsure</v>
      </c>
      <c r="E172">
        <f t="shared" ca="1" si="24"/>
        <v>2</v>
      </c>
      <c r="F172" t="str">
        <f ca="1">VLOOKUP('Master Sheet'!E172,'Code Options'!$A$1:$R$7,4)</f>
        <v>Cyndi</v>
      </c>
      <c r="G172">
        <f t="shared" ca="1" si="25"/>
        <v>1</v>
      </c>
      <c r="H172" t="str">
        <f ca="1">VLOOKUP('Master Sheet'!E172,'Code Options'!$A$1:$R$7,5)</f>
        <v>Cyndi</v>
      </c>
      <c r="I172">
        <f t="shared" ca="1" si="26"/>
        <v>2</v>
      </c>
      <c r="J172" t="str">
        <f ca="1">VLOOKUP('Master Sheet'!G172,'Code Options'!$A$1:$R$7,6)</f>
        <v>County/Local</v>
      </c>
      <c r="K172">
        <f t="shared" ca="1" si="27"/>
        <v>3</v>
      </c>
      <c r="L172" t="str">
        <f ca="1">VLOOKUP('Master Sheet'!I172,'Code Options'!$A$1:$R$7,7)</f>
        <v>Production</v>
      </c>
      <c r="M172">
        <f t="shared" ca="1" si="28"/>
        <v>3</v>
      </c>
      <c r="N172" t="str">
        <f ca="1">VLOOKUP('Master Sheet'!K172,'Code Options'!$A$1:$R$7,8)</f>
        <v>Rec.Fish.Mngmt</v>
      </c>
      <c r="O172">
        <f t="shared" ca="1" si="29"/>
        <v>3</v>
      </c>
      <c r="P172" t="str">
        <f ca="1">VLOOKUP('Master Sheet'!E172,'Code Options'!$A$1:$R$7,9)</f>
        <v>Fed_Code</v>
      </c>
      <c r="Q172" cm="1">
        <f t="array" aca="1" ref="Q172" ca="1">_xlfn.IFS(P172 ="State_Plan", RANDBETWEEN(1,23), P172 ="State_Code", RANDBETWEEN(1,23), P172 = "Fed_Code", 99, P172 = "Summ_Article", 999, P172 = "Guide", 999)</f>
        <v>99</v>
      </c>
      <c r="R172" t="str">
        <f ca="1">VLOOKUP(Q172,'States and Locations'!$A$1:$B$26,2)</f>
        <v>National</v>
      </c>
      <c r="S172">
        <f ca="1">VLOOKUP(Q172,'States and Locations'!$A$1:$D$26,3)</f>
        <v>39.833300000000001</v>
      </c>
      <c r="T172">
        <f ca="1">VLOOKUP(Q172,'States and Locations'!$A$1:$D$26,4)</f>
        <v>-98.583299999999994</v>
      </c>
      <c r="U172">
        <f t="shared" ca="1" si="30"/>
        <v>4</v>
      </c>
      <c r="V172" t="str">
        <f ca="1">VLOOKUP('Master Sheet'!E172,'Code Options'!$A$1:$R$7,10)</f>
        <v>Disposal</v>
      </c>
      <c r="W172">
        <f t="shared" ca="1" si="31"/>
        <v>4</v>
      </c>
      <c r="X172" t="str">
        <f ca="1">VLOOKUP('Master Sheet'!E172,'Code Options'!$A$1:$R$7,11)</f>
        <v>Comm_Fish</v>
      </c>
      <c r="Y172">
        <f t="shared" ca="1" si="32"/>
        <v>2</v>
      </c>
      <c r="Z172" t="str">
        <f ca="1">VLOOKUP('Master Sheet'!E172,'Code Options'!$A$1:$R$7,12)</f>
        <v>AS_constructors</v>
      </c>
    </row>
    <row r="173" spans="1:26" x14ac:dyDescent="0.2">
      <c r="A173">
        <f t="shared" ca="1" si="22"/>
        <v>6</v>
      </c>
      <c r="B173" t="str">
        <f ca="1">VLOOKUP('Master Sheet'!A173,'Code Options'!$A$1:$B$7,2)</f>
        <v>Tires/Rubber</v>
      </c>
      <c r="C173">
        <f t="shared" ca="1" si="23"/>
        <v>3</v>
      </c>
      <c r="D173" t="str">
        <f ca="1">VLOOKUP('Master Sheet'!C173,'Code Options'!$A$1:$R$7,3)</f>
        <v>Unsure</v>
      </c>
      <c r="E173">
        <f t="shared" ca="1" si="24"/>
        <v>2</v>
      </c>
      <c r="F173" t="str">
        <f ca="1">VLOOKUP('Master Sheet'!E173,'Code Options'!$A$1:$R$7,4)</f>
        <v>Cyndi</v>
      </c>
      <c r="G173">
        <f t="shared" ca="1" si="25"/>
        <v>2</v>
      </c>
      <c r="H173" t="str">
        <f ca="1">VLOOKUP('Master Sheet'!E173,'Code Options'!$A$1:$R$7,5)</f>
        <v>Cyndi</v>
      </c>
      <c r="I173">
        <f t="shared" ca="1" si="26"/>
        <v>1</v>
      </c>
      <c r="J173" t="str">
        <f ca="1">VLOOKUP('Master Sheet'!G173,'Code Options'!$A$1:$R$7,6)</f>
        <v>State</v>
      </c>
      <c r="K173">
        <f t="shared" ca="1" si="27"/>
        <v>4</v>
      </c>
      <c r="L173" t="str">
        <f ca="1">VLOOKUP('Master Sheet'!I173,'Code Options'!$A$1:$R$7,7)</f>
        <v>Habitat</v>
      </c>
      <c r="M173">
        <f t="shared" ca="1" si="28"/>
        <v>2</v>
      </c>
      <c r="N173" t="str">
        <f ca="1">VLOOKUP('Master Sheet'!K173,'Code Options'!$A$1:$R$7,8)</f>
        <v>Creation of AR Mat</v>
      </c>
      <c r="O173">
        <f t="shared" ca="1" si="29"/>
        <v>3</v>
      </c>
      <c r="P173" t="str">
        <f ca="1">VLOOKUP('Master Sheet'!E173,'Code Options'!$A$1:$R$7,9)</f>
        <v>Fed_Code</v>
      </c>
      <c r="Q173" cm="1">
        <f t="array" aca="1" ref="Q173" ca="1">_xlfn.IFS(P173 ="State_Plan", RANDBETWEEN(1,23), P173 ="State_Code", RANDBETWEEN(1,23), P173 = "Fed_Code", 99, P173 = "Summ_Article", 999, P173 = "Guide", 999)</f>
        <v>99</v>
      </c>
      <c r="R173" t="str">
        <f ca="1">VLOOKUP(Q173,'States and Locations'!$A$1:$B$26,2)</f>
        <v>National</v>
      </c>
      <c r="S173">
        <f ca="1">VLOOKUP(Q173,'States and Locations'!$A$1:$D$26,3)</f>
        <v>39.833300000000001</v>
      </c>
      <c r="T173">
        <f ca="1">VLOOKUP(Q173,'States and Locations'!$A$1:$D$26,4)</f>
        <v>-98.583299999999994</v>
      </c>
      <c r="U173">
        <f t="shared" ca="1" si="30"/>
        <v>3</v>
      </c>
      <c r="V173" t="str">
        <f ca="1">VLOOKUP('Master Sheet'!E173,'Code Options'!$A$1:$R$7,10)</f>
        <v>Disposal</v>
      </c>
      <c r="W173">
        <f t="shared" ca="1" si="31"/>
        <v>2</v>
      </c>
      <c r="X173" t="str">
        <f ca="1">VLOOKUP('Master Sheet'!E173,'Code Options'!$A$1:$R$7,11)</f>
        <v>Comm_Fish</v>
      </c>
      <c r="Y173">
        <f t="shared" ca="1" si="32"/>
        <v>2</v>
      </c>
      <c r="Z173" t="str">
        <f ca="1">VLOOKUP('Master Sheet'!E173,'Code Options'!$A$1:$R$7,12)</f>
        <v>AS_constructors</v>
      </c>
    </row>
    <row r="174" spans="1:26" x14ac:dyDescent="0.2">
      <c r="A174">
        <f t="shared" ca="1" si="22"/>
        <v>2</v>
      </c>
      <c r="B174" t="str">
        <f ca="1">VLOOKUP('Master Sheet'!A174,'Code Options'!$A$1:$B$7,2)</f>
        <v>Concrete</v>
      </c>
      <c r="C174">
        <f t="shared" ca="1" si="23"/>
        <v>1</v>
      </c>
      <c r="D174" t="str">
        <f ca="1">VLOOKUP('Master Sheet'!C174,'Code Options'!$A$1:$R$7,3)</f>
        <v>Retro</v>
      </c>
      <c r="E174">
        <f t="shared" ca="1" si="24"/>
        <v>3</v>
      </c>
      <c r="F174" t="str">
        <f ca="1">VLOOKUP('Master Sheet'!E174,'Code Options'!$A$1:$R$7,4)</f>
        <v>Jon</v>
      </c>
      <c r="G174">
        <f t="shared" ca="1" si="25"/>
        <v>1</v>
      </c>
      <c r="H174" t="str">
        <f ca="1">VLOOKUP('Master Sheet'!E174,'Code Options'!$A$1:$R$7,5)</f>
        <v>Nick</v>
      </c>
      <c r="I174">
        <f t="shared" ca="1" si="26"/>
        <v>4</v>
      </c>
      <c r="J174" t="str">
        <f ca="1">VLOOKUP('Master Sheet'!G174,'Code Options'!$A$1:$R$7,6)</f>
        <v>County/Local</v>
      </c>
      <c r="K174">
        <f t="shared" ca="1" si="27"/>
        <v>1</v>
      </c>
      <c r="L174" t="str">
        <f ca="1">VLOOKUP('Master Sheet'!I174,'Code Options'!$A$1:$R$7,7)</f>
        <v>Biodiversity</v>
      </c>
      <c r="M174">
        <f t="shared" ca="1" si="28"/>
        <v>2</v>
      </c>
      <c r="N174" t="str">
        <f ca="1">VLOOKUP('Master Sheet'!K174,'Code Options'!$A$1:$R$7,8)</f>
        <v>Fish.Enhancement</v>
      </c>
      <c r="O174">
        <f t="shared" ca="1" si="29"/>
        <v>2</v>
      </c>
      <c r="P174" t="str">
        <f ca="1">VLOOKUP('Master Sheet'!E174,'Code Options'!$A$1:$R$7,9)</f>
        <v>State_Plan</v>
      </c>
      <c r="Q174" cm="1">
        <f t="array" aca="1" ref="Q174" ca="1">_xlfn.IFS(P174 ="State_Plan", RANDBETWEEN(1,23), P174 ="State_Code", RANDBETWEEN(1,23), P174 = "Fed_Code", 99, P174 = "Summ_Article", 999, P174 = "Guide", 999)</f>
        <v>18</v>
      </c>
      <c r="R174" t="str">
        <f ca="1">VLOOKUP(Q174,'States and Locations'!$A$1:$B$26,2)</f>
        <v>Alabama</v>
      </c>
      <c r="S174">
        <f ca="1">VLOOKUP(Q174,'States and Locations'!$A$1:$D$26,3)</f>
        <v>32.833300000000001</v>
      </c>
      <c r="T174">
        <f ca="1">VLOOKUP(Q174,'States and Locations'!$A$1:$D$26,4)</f>
        <v>-86.633300000000006</v>
      </c>
      <c r="U174">
        <f t="shared" ca="1" si="30"/>
        <v>3</v>
      </c>
      <c r="V174" t="str">
        <f ca="1">VLOOKUP('Master Sheet'!E174,'Code Options'!$A$1:$R$7,10)</f>
        <v>Mitig.</v>
      </c>
      <c r="W174">
        <f t="shared" ca="1" si="31"/>
        <v>1</v>
      </c>
      <c r="X174" t="str">
        <f ca="1">VLOOKUP('Master Sheet'!E174,'Code Options'!$A$1:$R$7,11)</f>
        <v>Chart_Fish</v>
      </c>
      <c r="Y174">
        <f t="shared" ca="1" si="32"/>
        <v>1</v>
      </c>
      <c r="Z174" t="str">
        <f ca="1">VLOOKUP('Master Sheet'!E174,'Code Options'!$A$1:$R$7,12)</f>
        <v>Permit_reg_agencies</v>
      </c>
    </row>
    <row r="175" spans="1:26" x14ac:dyDescent="0.2">
      <c r="A175">
        <f t="shared" ca="1" si="22"/>
        <v>1</v>
      </c>
      <c r="B175" t="str">
        <f ca="1">VLOOKUP('Master Sheet'!A175,'Code Options'!$A$1:$B$7,2)</f>
        <v>Composite</v>
      </c>
      <c r="C175">
        <f t="shared" ca="1" si="23"/>
        <v>3</v>
      </c>
      <c r="D175" t="str">
        <f ca="1">VLOOKUP('Master Sheet'!C175,'Code Options'!$A$1:$R$7,3)</f>
        <v>Unsure</v>
      </c>
      <c r="E175">
        <f t="shared" ca="1" si="24"/>
        <v>1</v>
      </c>
      <c r="F175" t="str">
        <f ca="1">VLOOKUP('Master Sheet'!E175,'Code Options'!$A$1:$R$7,4)</f>
        <v>Will</v>
      </c>
      <c r="G175">
        <f t="shared" ca="1" si="25"/>
        <v>3</v>
      </c>
      <c r="H175" t="str">
        <f ca="1">VLOOKUP('Master Sheet'!E175,'Code Options'!$A$1:$R$7,5)</f>
        <v>Will</v>
      </c>
      <c r="I175">
        <f t="shared" ca="1" si="26"/>
        <v>1</v>
      </c>
      <c r="J175" t="str">
        <f ca="1">VLOOKUP('Master Sheet'!G175,'Code Options'!$A$1:$R$7,6)</f>
        <v>Regional</v>
      </c>
      <c r="K175">
        <f t="shared" ca="1" si="27"/>
        <v>1</v>
      </c>
      <c r="L175" t="str">
        <f ca="1">VLOOKUP('Master Sheet'!I175,'Code Options'!$A$1:$R$7,7)</f>
        <v>Habitat</v>
      </c>
      <c r="M175">
        <f t="shared" ca="1" si="28"/>
        <v>2</v>
      </c>
      <c r="N175" t="str">
        <f ca="1">VLOOKUP('Master Sheet'!K175,'Code Options'!$A$1:$R$7,8)</f>
        <v>Fish.Enhancement</v>
      </c>
      <c r="O175">
        <f t="shared" ca="1" si="29"/>
        <v>1</v>
      </c>
      <c r="P175" t="str">
        <f ca="1">VLOOKUP('Master Sheet'!E175,'Code Options'!$A$1:$R$7,9)</f>
        <v>State_Code</v>
      </c>
      <c r="Q175" cm="1">
        <f t="array" aca="1" ref="Q175" ca="1">_xlfn.IFS(P175 ="State_Plan", RANDBETWEEN(1,23), P175 ="State_Code", RANDBETWEEN(1,23), P175 = "Fed_Code", 99, P175 = "Summ_Article", 999, P175 = "Guide", 999)</f>
        <v>8</v>
      </c>
      <c r="R175" t="str">
        <f ca="1">VLOOKUP(Q175,'States and Locations'!$A$1:$B$26,2)</f>
        <v>Delaware</v>
      </c>
      <c r="S175">
        <f ca="1">VLOOKUP(Q175,'States and Locations'!$A$1:$D$26,3)</f>
        <v>38.9833</v>
      </c>
      <c r="T175">
        <f ca="1">VLOOKUP(Q175,'States and Locations'!$A$1:$D$26,4)</f>
        <v>-75.5167</v>
      </c>
      <c r="U175">
        <f t="shared" ca="1" si="30"/>
        <v>5</v>
      </c>
      <c r="V175" t="str">
        <f ca="1">VLOOKUP('Master Sheet'!E175,'Code Options'!$A$1:$R$7,10)</f>
        <v>Hab_enhancement</v>
      </c>
      <c r="W175">
        <f t="shared" ca="1" si="31"/>
        <v>5</v>
      </c>
      <c r="X175" t="str">
        <f ca="1">VLOOKUP('Master Sheet'!E175,'Code Options'!$A$1:$R$7,11)</f>
        <v>Rec_Fish</v>
      </c>
      <c r="Y175">
        <f t="shared" ca="1" si="32"/>
        <v>3</v>
      </c>
      <c r="Z175" t="str">
        <f ca="1">VLOOKUP('Master Sheet'!E175,'Code Options'!$A$1:$R$7,12)</f>
        <v>AR_proj_plan_mngrs</v>
      </c>
    </row>
    <row r="176" spans="1:26" x14ac:dyDescent="0.2">
      <c r="A176">
        <f t="shared" ca="1" si="22"/>
        <v>5</v>
      </c>
      <c r="B176" t="str">
        <f ca="1">VLOOKUP('Master Sheet'!A176,'Code Options'!$A$1:$B$7,2)</f>
        <v>Rock</v>
      </c>
      <c r="C176">
        <f t="shared" ca="1" si="23"/>
        <v>2</v>
      </c>
      <c r="D176" t="str">
        <f ca="1">VLOOKUP('Master Sheet'!C176,'Code Options'!$A$1:$R$7,3)</f>
        <v>Pro</v>
      </c>
      <c r="E176">
        <f t="shared" ca="1" si="24"/>
        <v>2</v>
      </c>
      <c r="F176" t="str">
        <f ca="1">VLOOKUP('Master Sheet'!E176,'Code Options'!$A$1:$R$7,4)</f>
        <v>Cyndi</v>
      </c>
      <c r="G176">
        <f t="shared" ca="1" si="25"/>
        <v>1</v>
      </c>
      <c r="H176" t="str">
        <f ca="1">VLOOKUP('Master Sheet'!E176,'Code Options'!$A$1:$R$7,5)</f>
        <v>Cyndi</v>
      </c>
      <c r="I176">
        <f t="shared" ca="1" si="26"/>
        <v>4</v>
      </c>
      <c r="J176" t="str">
        <f ca="1">VLOOKUP('Master Sheet'!G176,'Code Options'!$A$1:$R$7,6)</f>
        <v>County/Local</v>
      </c>
      <c r="K176">
        <f t="shared" ca="1" si="27"/>
        <v>3</v>
      </c>
      <c r="L176" t="str">
        <f ca="1">VLOOKUP('Master Sheet'!I176,'Code Options'!$A$1:$R$7,7)</f>
        <v>Biodiversity</v>
      </c>
      <c r="M176">
        <f t="shared" ca="1" si="28"/>
        <v>5</v>
      </c>
      <c r="N176" t="str">
        <f ca="1">VLOOKUP('Master Sheet'!K176,'Code Options'!$A$1:$R$7,8)</f>
        <v>Rec.Fish.Mngmt</v>
      </c>
      <c r="O176">
        <f t="shared" ca="1" si="29"/>
        <v>4</v>
      </c>
      <c r="P176" t="str">
        <f ca="1">VLOOKUP('Master Sheet'!E176,'Code Options'!$A$1:$R$7,9)</f>
        <v>Fed_Code</v>
      </c>
      <c r="Q176" cm="1">
        <f t="array" aca="1" ref="Q176" ca="1">_xlfn.IFS(P176 ="State_Plan", RANDBETWEEN(1,23), P176 ="State_Code", RANDBETWEEN(1,23), P176 = "Fed_Code", 99, P176 = "Summ_Article", 999, P176 = "Guide", 999)</f>
        <v>99</v>
      </c>
      <c r="R176" t="str">
        <f ca="1">VLOOKUP(Q176,'States and Locations'!$A$1:$B$26,2)</f>
        <v>National</v>
      </c>
      <c r="S176">
        <f ca="1">VLOOKUP(Q176,'States and Locations'!$A$1:$D$26,3)</f>
        <v>39.833300000000001</v>
      </c>
      <c r="T176">
        <f ca="1">VLOOKUP(Q176,'States and Locations'!$A$1:$D$26,4)</f>
        <v>-98.583299999999994</v>
      </c>
      <c r="U176">
        <f t="shared" ca="1" si="30"/>
        <v>2</v>
      </c>
      <c r="V176" t="str">
        <f ca="1">VLOOKUP('Master Sheet'!E176,'Code Options'!$A$1:$R$7,10)</f>
        <v>Disposal</v>
      </c>
      <c r="W176">
        <f t="shared" ca="1" si="31"/>
        <v>1</v>
      </c>
      <c r="X176" t="str">
        <f ca="1">VLOOKUP('Master Sheet'!E176,'Code Options'!$A$1:$R$7,11)</f>
        <v>Comm_Fish</v>
      </c>
      <c r="Y176">
        <f t="shared" ca="1" si="32"/>
        <v>4</v>
      </c>
      <c r="Z176" t="str">
        <f ca="1">VLOOKUP('Master Sheet'!E176,'Code Options'!$A$1:$R$7,12)</f>
        <v>AS_constructors</v>
      </c>
    </row>
    <row r="177" spans="1:26" x14ac:dyDescent="0.2">
      <c r="A177">
        <f t="shared" ca="1" si="22"/>
        <v>5</v>
      </c>
      <c r="B177" t="str">
        <f ca="1">VLOOKUP('Master Sheet'!A177,'Code Options'!$A$1:$B$7,2)</f>
        <v>Rock</v>
      </c>
      <c r="C177">
        <f t="shared" ca="1" si="23"/>
        <v>1</v>
      </c>
      <c r="D177" t="str">
        <f ca="1">VLOOKUP('Master Sheet'!C177,'Code Options'!$A$1:$R$7,3)</f>
        <v>Retro</v>
      </c>
      <c r="E177">
        <f t="shared" ca="1" si="24"/>
        <v>4</v>
      </c>
      <c r="F177" t="str">
        <f ca="1">VLOOKUP('Master Sheet'!E177,'Code Options'!$A$1:$R$7,4)</f>
        <v>LM</v>
      </c>
      <c r="G177">
        <f t="shared" ca="1" si="25"/>
        <v>1</v>
      </c>
      <c r="H177">
        <f ca="1">VLOOKUP('Master Sheet'!E177,'Code Options'!$A$1:$R$7,5)</f>
        <v>0</v>
      </c>
      <c r="I177">
        <f t="shared" ca="1" si="26"/>
        <v>1</v>
      </c>
      <c r="J177" t="str">
        <f ca="1">VLOOKUP('Master Sheet'!G177,'Code Options'!$A$1:$R$7,6)</f>
        <v>County/Local</v>
      </c>
      <c r="K177">
        <f t="shared" ca="1" si="27"/>
        <v>1</v>
      </c>
      <c r="L177" t="str">
        <f ca="1">VLOOKUP('Master Sheet'!I177,'Code Options'!$A$1:$R$7,7)</f>
        <v>Habitat</v>
      </c>
      <c r="M177">
        <f t="shared" ca="1" si="28"/>
        <v>4</v>
      </c>
      <c r="N177" t="str">
        <f ca="1">VLOOKUP('Master Sheet'!K177,'Code Options'!$A$1:$R$7,8)</f>
        <v>Fish.Enhancement</v>
      </c>
      <c r="O177">
        <f t="shared" ca="1" si="29"/>
        <v>5</v>
      </c>
      <c r="P177" t="str">
        <f ca="1">VLOOKUP('Master Sheet'!E177,'Code Options'!$A$1:$R$7,9)</f>
        <v>Summ_Article</v>
      </c>
      <c r="Q177" cm="1">
        <f t="array" aca="1" ref="Q177" ca="1">_xlfn.IFS(P177 ="State_Plan", RANDBETWEEN(1,23), P177 ="State_Code", RANDBETWEEN(1,23), P177 = "Fed_Code", 99, P177 = "Summ_Article", 999, P177 = "Guide", 999)</f>
        <v>999</v>
      </c>
      <c r="R177" t="str">
        <f ca="1">VLOOKUP(Q177,'States and Locations'!$A$1:$B$26,2)</f>
        <v>UNK</v>
      </c>
      <c r="S177">
        <f ca="1">VLOOKUP(Q177,'States and Locations'!$A$1:$D$26,3)</f>
        <v>25</v>
      </c>
      <c r="T177">
        <f ca="1">VLOOKUP(Q177,'States and Locations'!$A$1:$D$26,4)</f>
        <v>-90</v>
      </c>
      <c r="U177">
        <f t="shared" ca="1" si="30"/>
        <v>4</v>
      </c>
      <c r="V177" t="str">
        <f ca="1">VLOOKUP('Master Sheet'!E177,'Code Options'!$A$1:$R$7,10)</f>
        <v>Hab_restoration</v>
      </c>
      <c r="W177">
        <f t="shared" ca="1" si="31"/>
        <v>2</v>
      </c>
      <c r="X177" t="str">
        <f ca="1">VLOOKUP('Master Sheet'!E177,'Code Options'!$A$1:$R$7,11)</f>
        <v>Non-Fish_rec</v>
      </c>
      <c r="Y177">
        <f t="shared" ca="1" si="32"/>
        <v>1</v>
      </c>
      <c r="Z177" t="str">
        <f ca="1">VLOOKUP('Master Sheet'!E177,'Code Options'!$A$1:$R$7,12)</f>
        <v>people_interested</v>
      </c>
    </row>
    <row r="178" spans="1:26" x14ac:dyDescent="0.2">
      <c r="A178">
        <f t="shared" ca="1" si="22"/>
        <v>2</v>
      </c>
      <c r="B178" t="str">
        <f ca="1">VLOOKUP('Master Sheet'!A178,'Code Options'!$A$1:$B$7,2)</f>
        <v>Concrete</v>
      </c>
      <c r="C178">
        <f t="shared" ca="1" si="23"/>
        <v>2</v>
      </c>
      <c r="D178" t="str">
        <f ca="1">VLOOKUP('Master Sheet'!C178,'Code Options'!$A$1:$R$7,3)</f>
        <v>Pro</v>
      </c>
      <c r="E178">
        <f t="shared" ca="1" si="24"/>
        <v>4</v>
      </c>
      <c r="F178" t="str">
        <f ca="1">VLOOKUP('Master Sheet'!E178,'Code Options'!$A$1:$R$7,4)</f>
        <v>LM</v>
      </c>
      <c r="G178">
        <f t="shared" ca="1" si="25"/>
        <v>3</v>
      </c>
      <c r="H178">
        <f ca="1">VLOOKUP('Master Sheet'!E178,'Code Options'!$A$1:$R$7,5)</f>
        <v>0</v>
      </c>
      <c r="I178">
        <f t="shared" ca="1" si="26"/>
        <v>4</v>
      </c>
      <c r="J178" t="str">
        <f ca="1">VLOOKUP('Master Sheet'!G178,'Code Options'!$A$1:$R$7,6)</f>
        <v>Regional</v>
      </c>
      <c r="K178">
        <f t="shared" ca="1" si="27"/>
        <v>4</v>
      </c>
      <c r="L178" t="str">
        <f ca="1">VLOOKUP('Master Sheet'!I178,'Code Options'!$A$1:$R$7,7)</f>
        <v>Biodiversity</v>
      </c>
      <c r="M178">
        <f t="shared" ca="1" si="28"/>
        <v>5</v>
      </c>
      <c r="N178" t="str">
        <f ca="1">VLOOKUP('Master Sheet'!K178,'Code Options'!$A$1:$R$7,8)</f>
        <v>Creation of AR Mat</v>
      </c>
      <c r="O178">
        <f t="shared" ca="1" si="29"/>
        <v>2</v>
      </c>
      <c r="P178" t="str">
        <f ca="1">VLOOKUP('Master Sheet'!E178,'Code Options'!$A$1:$R$7,9)</f>
        <v>Summ_Article</v>
      </c>
      <c r="Q178" cm="1">
        <f t="array" aca="1" ref="Q178" ca="1">_xlfn.IFS(P178 ="State_Plan", RANDBETWEEN(1,23), P178 ="State_Code", RANDBETWEEN(1,23), P178 = "Fed_Code", 99, P178 = "Summ_Article", 999, P178 = "Guide", 999)</f>
        <v>999</v>
      </c>
      <c r="R178" t="str">
        <f ca="1">VLOOKUP(Q178,'States and Locations'!$A$1:$B$26,2)</f>
        <v>UNK</v>
      </c>
      <c r="S178">
        <f ca="1">VLOOKUP(Q178,'States and Locations'!$A$1:$D$26,3)</f>
        <v>25</v>
      </c>
      <c r="T178">
        <f ca="1">VLOOKUP(Q178,'States and Locations'!$A$1:$D$26,4)</f>
        <v>-90</v>
      </c>
      <c r="U178">
        <f t="shared" ca="1" si="30"/>
        <v>4</v>
      </c>
      <c r="V178" t="str">
        <f ca="1">VLOOKUP('Master Sheet'!E178,'Code Options'!$A$1:$R$7,10)</f>
        <v>Hab_restoration</v>
      </c>
      <c r="W178">
        <f t="shared" ca="1" si="31"/>
        <v>3</v>
      </c>
      <c r="X178" t="str">
        <f ca="1">VLOOKUP('Master Sheet'!E178,'Code Options'!$A$1:$R$7,11)</f>
        <v>Non-Fish_rec</v>
      </c>
      <c r="Y178">
        <f t="shared" ca="1" si="32"/>
        <v>2</v>
      </c>
      <c r="Z178" t="str">
        <f ca="1">VLOOKUP('Master Sheet'!E178,'Code Options'!$A$1:$R$7,12)</f>
        <v>people_interested</v>
      </c>
    </row>
    <row r="179" spans="1:26" x14ac:dyDescent="0.2">
      <c r="A179">
        <f t="shared" ca="1" si="22"/>
        <v>2</v>
      </c>
      <c r="B179" t="str">
        <f ca="1">VLOOKUP('Master Sheet'!A179,'Code Options'!$A$1:$B$7,2)</f>
        <v>Concrete</v>
      </c>
      <c r="C179">
        <f t="shared" ca="1" si="23"/>
        <v>3</v>
      </c>
      <c r="D179" t="str">
        <f ca="1">VLOOKUP('Master Sheet'!C179,'Code Options'!$A$1:$R$7,3)</f>
        <v>Unsure</v>
      </c>
      <c r="E179">
        <f t="shared" ca="1" si="24"/>
        <v>4</v>
      </c>
      <c r="F179" t="str">
        <f ca="1">VLOOKUP('Master Sheet'!E179,'Code Options'!$A$1:$R$7,4)</f>
        <v>LM</v>
      </c>
      <c r="G179">
        <f t="shared" ca="1" si="25"/>
        <v>3</v>
      </c>
      <c r="H179">
        <f ca="1">VLOOKUP('Master Sheet'!E179,'Code Options'!$A$1:$R$7,5)</f>
        <v>0</v>
      </c>
      <c r="I179">
        <f t="shared" ca="1" si="26"/>
        <v>4</v>
      </c>
      <c r="J179" t="str">
        <f ca="1">VLOOKUP('Master Sheet'!G179,'Code Options'!$A$1:$R$7,6)</f>
        <v>Regional</v>
      </c>
      <c r="K179">
        <f t="shared" ca="1" si="27"/>
        <v>3</v>
      </c>
      <c r="L179" t="str">
        <f ca="1">VLOOKUP('Master Sheet'!I179,'Code Options'!$A$1:$R$7,7)</f>
        <v>Biodiversity</v>
      </c>
      <c r="M179">
        <f t="shared" ca="1" si="28"/>
        <v>4</v>
      </c>
      <c r="N179" t="str">
        <f ca="1">VLOOKUP('Master Sheet'!K179,'Code Options'!$A$1:$R$7,8)</f>
        <v>Rec.Fish.Mngmt</v>
      </c>
      <c r="O179">
        <f t="shared" ca="1" si="29"/>
        <v>2</v>
      </c>
      <c r="P179" t="str">
        <f ca="1">VLOOKUP('Master Sheet'!E179,'Code Options'!$A$1:$R$7,9)</f>
        <v>Summ_Article</v>
      </c>
      <c r="Q179" cm="1">
        <f t="array" aca="1" ref="Q179" ca="1">_xlfn.IFS(P179 ="State_Plan", RANDBETWEEN(1,23), P179 ="State_Code", RANDBETWEEN(1,23), P179 = "Fed_Code", 99, P179 = "Summ_Article", 999, P179 = "Guide", 999)</f>
        <v>999</v>
      </c>
      <c r="R179" t="str">
        <f ca="1">VLOOKUP(Q179,'States and Locations'!$A$1:$B$26,2)</f>
        <v>UNK</v>
      </c>
      <c r="S179">
        <f ca="1">VLOOKUP(Q179,'States and Locations'!$A$1:$D$26,3)</f>
        <v>25</v>
      </c>
      <c r="T179">
        <f ca="1">VLOOKUP(Q179,'States and Locations'!$A$1:$D$26,4)</f>
        <v>-90</v>
      </c>
      <c r="U179">
        <f t="shared" ca="1" si="30"/>
        <v>2</v>
      </c>
      <c r="V179" t="str">
        <f ca="1">VLOOKUP('Master Sheet'!E179,'Code Options'!$A$1:$R$7,10)</f>
        <v>Hab_restoration</v>
      </c>
      <c r="W179">
        <f t="shared" ca="1" si="31"/>
        <v>3</v>
      </c>
      <c r="X179" t="str">
        <f ca="1">VLOOKUP('Master Sheet'!E179,'Code Options'!$A$1:$R$7,11)</f>
        <v>Non-Fish_rec</v>
      </c>
      <c r="Y179">
        <f t="shared" ca="1" si="32"/>
        <v>4</v>
      </c>
      <c r="Z179" t="str">
        <f ca="1">VLOOKUP('Master Sheet'!E179,'Code Options'!$A$1:$R$7,12)</f>
        <v>people_interested</v>
      </c>
    </row>
    <row r="180" spans="1:26" x14ac:dyDescent="0.2">
      <c r="A180">
        <f t="shared" ca="1" si="22"/>
        <v>4</v>
      </c>
      <c r="B180" t="str">
        <f ca="1">VLOOKUP('Master Sheet'!A180,'Code Options'!$A$1:$B$7,2)</f>
        <v>Other</v>
      </c>
      <c r="C180">
        <f t="shared" ca="1" si="23"/>
        <v>1</v>
      </c>
      <c r="D180" t="str">
        <f ca="1">VLOOKUP('Master Sheet'!C180,'Code Options'!$A$1:$R$7,3)</f>
        <v>Retro</v>
      </c>
      <c r="E180">
        <f t="shared" ca="1" si="24"/>
        <v>3</v>
      </c>
      <c r="F180" t="str">
        <f ca="1">VLOOKUP('Master Sheet'!E180,'Code Options'!$A$1:$R$7,4)</f>
        <v>Jon</v>
      </c>
      <c r="G180">
        <f t="shared" ca="1" si="25"/>
        <v>2</v>
      </c>
      <c r="H180" t="str">
        <f ca="1">VLOOKUP('Master Sheet'!E180,'Code Options'!$A$1:$R$7,5)</f>
        <v>Nick</v>
      </c>
      <c r="I180">
        <f t="shared" ca="1" si="26"/>
        <v>2</v>
      </c>
      <c r="J180" t="str">
        <f ca="1">VLOOKUP('Master Sheet'!G180,'Code Options'!$A$1:$R$7,6)</f>
        <v>State</v>
      </c>
      <c r="K180">
        <f t="shared" ca="1" si="27"/>
        <v>1</v>
      </c>
      <c r="L180" t="str">
        <f ca="1">VLOOKUP('Master Sheet'!I180,'Code Options'!$A$1:$R$7,7)</f>
        <v>Production</v>
      </c>
      <c r="M180">
        <f t="shared" ca="1" si="28"/>
        <v>3</v>
      </c>
      <c r="N180" t="str">
        <f ca="1">VLOOKUP('Master Sheet'!K180,'Code Options'!$A$1:$R$7,8)</f>
        <v>Fish.Enhancement</v>
      </c>
      <c r="O180">
        <f t="shared" ca="1" si="29"/>
        <v>5</v>
      </c>
      <c r="P180" t="str">
        <f ca="1">VLOOKUP('Master Sheet'!E180,'Code Options'!$A$1:$R$7,9)</f>
        <v>State_Plan</v>
      </c>
      <c r="Q180" cm="1">
        <f t="array" aca="1" ref="Q180" ca="1">_xlfn.IFS(P180 ="State_Plan", RANDBETWEEN(1,23), P180 ="State_Code", RANDBETWEEN(1,23), P180 = "Fed_Code", 99, P180 = "Summ_Article", 999, P180 = "Guide", 999)</f>
        <v>3</v>
      </c>
      <c r="R180" t="str">
        <f ca="1">VLOOKUP(Q180,'States and Locations'!$A$1:$B$26,2)</f>
        <v>Massachussetts</v>
      </c>
      <c r="S180">
        <f ca="1">VLOOKUP(Q180,'States and Locations'!$A$1:$D$26,3)</f>
        <v>42.4</v>
      </c>
      <c r="T180">
        <f ca="1">VLOOKUP(Q180,'States and Locations'!$A$1:$D$26,4)</f>
        <v>-71.383300000000006</v>
      </c>
      <c r="U180">
        <f t="shared" ca="1" si="30"/>
        <v>2</v>
      </c>
      <c r="V180" t="str">
        <f ca="1">VLOOKUP('Master Sheet'!E180,'Code Options'!$A$1:$R$7,10)</f>
        <v>Mitig.</v>
      </c>
      <c r="W180">
        <f t="shared" ca="1" si="31"/>
        <v>3</v>
      </c>
      <c r="X180" t="str">
        <f ca="1">VLOOKUP('Master Sheet'!E180,'Code Options'!$A$1:$R$7,11)</f>
        <v>Chart_Fish</v>
      </c>
      <c r="Y180">
        <f t="shared" ca="1" si="32"/>
        <v>5</v>
      </c>
      <c r="Z180" t="str">
        <f ca="1">VLOOKUP('Master Sheet'!E180,'Code Options'!$A$1:$R$7,12)</f>
        <v>Permit_reg_agencies</v>
      </c>
    </row>
    <row r="181" spans="1:26" x14ac:dyDescent="0.2">
      <c r="A181">
        <f t="shared" ca="1" si="22"/>
        <v>1</v>
      </c>
      <c r="B181" t="str">
        <f ca="1">VLOOKUP('Master Sheet'!A181,'Code Options'!$A$1:$B$7,2)</f>
        <v>Composite</v>
      </c>
      <c r="C181">
        <f t="shared" ca="1" si="23"/>
        <v>3</v>
      </c>
      <c r="D181" t="str">
        <f ca="1">VLOOKUP('Master Sheet'!C181,'Code Options'!$A$1:$R$7,3)</f>
        <v>Unsure</v>
      </c>
      <c r="E181">
        <f t="shared" ca="1" si="24"/>
        <v>1</v>
      </c>
      <c r="F181" t="str">
        <f ca="1">VLOOKUP('Master Sheet'!E181,'Code Options'!$A$1:$R$7,4)</f>
        <v>Will</v>
      </c>
      <c r="G181">
        <f t="shared" ca="1" si="25"/>
        <v>2</v>
      </c>
      <c r="H181" t="str">
        <f ca="1">VLOOKUP('Master Sheet'!E181,'Code Options'!$A$1:$R$7,5)</f>
        <v>Will</v>
      </c>
      <c r="I181">
        <f t="shared" ca="1" si="26"/>
        <v>2</v>
      </c>
      <c r="J181" t="str">
        <f ca="1">VLOOKUP('Master Sheet'!G181,'Code Options'!$A$1:$R$7,6)</f>
        <v>State</v>
      </c>
      <c r="K181">
        <f t="shared" ca="1" si="27"/>
        <v>3</v>
      </c>
      <c r="L181" t="str">
        <f ca="1">VLOOKUP('Master Sheet'!I181,'Code Options'!$A$1:$R$7,7)</f>
        <v>Production</v>
      </c>
      <c r="M181">
        <f t="shared" ca="1" si="28"/>
        <v>2</v>
      </c>
      <c r="N181" t="str">
        <f ca="1">VLOOKUP('Master Sheet'!K181,'Code Options'!$A$1:$R$7,8)</f>
        <v>Rec.Fish.Mngmt</v>
      </c>
      <c r="O181">
        <f t="shared" ca="1" si="29"/>
        <v>5</v>
      </c>
      <c r="P181" t="str">
        <f ca="1">VLOOKUP('Master Sheet'!E181,'Code Options'!$A$1:$R$7,9)</f>
        <v>State_Code</v>
      </c>
      <c r="Q181" cm="1">
        <f t="array" aca="1" ref="Q181" ca="1">_xlfn.IFS(P181 ="State_Plan", RANDBETWEEN(1,23), P181 ="State_Code", RANDBETWEEN(1,23), P181 = "Fed_Code", 99, P181 = "Summ_Article", 999, P181 = "Guide", 999)</f>
        <v>17</v>
      </c>
      <c r="R181" t="str">
        <f ca="1">VLOOKUP(Q181,'States and Locations'!$A$1:$B$26,2)</f>
        <v>Mississippi</v>
      </c>
      <c r="S181">
        <f ca="1">VLOOKUP(Q181,'States and Locations'!$A$1:$D$26,3)</f>
        <v>32.7333</v>
      </c>
      <c r="T181">
        <f ca="1">VLOOKUP(Q181,'States and Locations'!$A$1:$D$26,4)</f>
        <v>-89.666700000000006</v>
      </c>
      <c r="U181">
        <f t="shared" ca="1" si="30"/>
        <v>1</v>
      </c>
      <c r="V181" t="str">
        <f ca="1">VLOOKUP('Master Sheet'!E181,'Code Options'!$A$1:$R$7,10)</f>
        <v>Hab_enhancement</v>
      </c>
      <c r="W181">
        <f t="shared" ca="1" si="31"/>
        <v>5</v>
      </c>
      <c r="X181" t="str">
        <f ca="1">VLOOKUP('Master Sheet'!E181,'Code Options'!$A$1:$R$7,11)</f>
        <v>Rec_Fish</v>
      </c>
      <c r="Y181">
        <f t="shared" ca="1" si="32"/>
        <v>5</v>
      </c>
      <c r="Z181" t="str">
        <f ca="1">VLOOKUP('Master Sheet'!E181,'Code Options'!$A$1:$R$7,12)</f>
        <v>AR_proj_plan_mngrs</v>
      </c>
    </row>
    <row r="182" spans="1:26" x14ac:dyDescent="0.2">
      <c r="A182">
        <f t="shared" ca="1" si="22"/>
        <v>1</v>
      </c>
      <c r="B182" t="str">
        <f ca="1">VLOOKUP('Master Sheet'!A182,'Code Options'!$A$1:$B$7,2)</f>
        <v>Composite</v>
      </c>
      <c r="C182">
        <f t="shared" ca="1" si="23"/>
        <v>1</v>
      </c>
      <c r="D182" t="str">
        <f ca="1">VLOOKUP('Master Sheet'!C182,'Code Options'!$A$1:$R$7,3)</f>
        <v>Retro</v>
      </c>
      <c r="E182">
        <f t="shared" ca="1" si="24"/>
        <v>3</v>
      </c>
      <c r="F182" t="str">
        <f ca="1">VLOOKUP('Master Sheet'!E182,'Code Options'!$A$1:$R$7,4)</f>
        <v>Jon</v>
      </c>
      <c r="G182">
        <f t="shared" ca="1" si="25"/>
        <v>3</v>
      </c>
      <c r="H182" t="str">
        <f ca="1">VLOOKUP('Master Sheet'!E182,'Code Options'!$A$1:$R$7,5)</f>
        <v>Nick</v>
      </c>
      <c r="I182">
        <f t="shared" ca="1" si="26"/>
        <v>1</v>
      </c>
      <c r="J182" t="str">
        <f ca="1">VLOOKUP('Master Sheet'!G182,'Code Options'!$A$1:$R$7,6)</f>
        <v>Regional</v>
      </c>
      <c r="K182">
        <f t="shared" ca="1" si="27"/>
        <v>4</v>
      </c>
      <c r="L182" t="str">
        <f ca="1">VLOOKUP('Master Sheet'!I182,'Code Options'!$A$1:$R$7,7)</f>
        <v>Habitat</v>
      </c>
      <c r="M182">
        <f t="shared" ca="1" si="28"/>
        <v>5</v>
      </c>
      <c r="N182" t="str">
        <f ca="1">VLOOKUP('Master Sheet'!K182,'Code Options'!$A$1:$R$7,8)</f>
        <v>Creation of AR Mat</v>
      </c>
      <c r="O182">
        <f t="shared" ca="1" si="29"/>
        <v>4</v>
      </c>
      <c r="P182" t="str">
        <f ca="1">VLOOKUP('Master Sheet'!E182,'Code Options'!$A$1:$R$7,9)</f>
        <v>State_Plan</v>
      </c>
      <c r="Q182" cm="1">
        <f t="array" aca="1" ref="Q182" ca="1">_xlfn.IFS(P182 ="State_Plan", RANDBETWEEN(1,23), P182 ="State_Code", RANDBETWEEN(1,23), P182 = "Fed_Code", 99, P182 = "Summ_Article", 999, P182 = "Guide", 999)</f>
        <v>7</v>
      </c>
      <c r="R182" t="str">
        <f ca="1">VLOOKUP(Q182,'States and Locations'!$A$1:$B$26,2)</f>
        <v>New Jersey</v>
      </c>
      <c r="S182">
        <f ca="1">VLOOKUP(Q182,'States and Locations'!$A$1:$D$26,3)</f>
        <v>39.833300000000001</v>
      </c>
      <c r="T182">
        <f ca="1">VLOOKUP(Q182,'States and Locations'!$A$1:$D$26,4)</f>
        <v>-74.866699999999994</v>
      </c>
      <c r="U182">
        <f t="shared" ca="1" si="30"/>
        <v>4</v>
      </c>
      <c r="V182" t="str">
        <f ca="1">VLOOKUP('Master Sheet'!E182,'Code Options'!$A$1:$R$7,10)</f>
        <v>Mitig.</v>
      </c>
      <c r="W182">
        <f t="shared" ca="1" si="31"/>
        <v>3</v>
      </c>
      <c r="X182" t="str">
        <f ca="1">VLOOKUP('Master Sheet'!E182,'Code Options'!$A$1:$R$7,11)</f>
        <v>Chart_Fish</v>
      </c>
      <c r="Y182">
        <f t="shared" ca="1" si="32"/>
        <v>1</v>
      </c>
      <c r="Z182" t="str">
        <f ca="1">VLOOKUP('Master Sheet'!E182,'Code Options'!$A$1:$R$7,12)</f>
        <v>Permit_reg_agencies</v>
      </c>
    </row>
    <row r="183" spans="1:26" x14ac:dyDescent="0.2">
      <c r="A183">
        <f t="shared" ca="1" si="22"/>
        <v>6</v>
      </c>
      <c r="B183" t="str">
        <f ca="1">VLOOKUP('Master Sheet'!A183,'Code Options'!$A$1:$B$7,2)</f>
        <v>Tires/Rubber</v>
      </c>
      <c r="C183">
        <f t="shared" ca="1" si="23"/>
        <v>2</v>
      </c>
      <c r="D183" t="str">
        <f ca="1">VLOOKUP('Master Sheet'!C183,'Code Options'!$A$1:$R$7,3)</f>
        <v>Pro</v>
      </c>
      <c r="E183">
        <f t="shared" ca="1" si="24"/>
        <v>4</v>
      </c>
      <c r="F183" t="str">
        <f ca="1">VLOOKUP('Master Sheet'!E183,'Code Options'!$A$1:$R$7,4)</f>
        <v>LM</v>
      </c>
      <c r="G183">
        <f t="shared" ca="1" si="25"/>
        <v>2</v>
      </c>
      <c r="H183">
        <f ca="1">VLOOKUP('Master Sheet'!E183,'Code Options'!$A$1:$R$7,5)</f>
        <v>0</v>
      </c>
      <c r="I183">
        <f t="shared" ca="1" si="26"/>
        <v>4</v>
      </c>
      <c r="J183" t="str">
        <f ca="1">VLOOKUP('Master Sheet'!G183,'Code Options'!$A$1:$R$7,6)</f>
        <v>State</v>
      </c>
      <c r="K183">
        <f t="shared" ca="1" si="27"/>
        <v>1</v>
      </c>
      <c r="L183" t="str">
        <f ca="1">VLOOKUP('Master Sheet'!I183,'Code Options'!$A$1:$R$7,7)</f>
        <v>Biodiversity</v>
      </c>
      <c r="M183">
        <f t="shared" ca="1" si="28"/>
        <v>1</v>
      </c>
      <c r="N183" t="str">
        <f ca="1">VLOOKUP('Master Sheet'!K183,'Code Options'!$A$1:$R$7,8)</f>
        <v>Fish.Enhancement</v>
      </c>
      <c r="O183">
        <f t="shared" ca="1" si="29"/>
        <v>4</v>
      </c>
      <c r="P183" t="str">
        <f ca="1">VLOOKUP('Master Sheet'!E183,'Code Options'!$A$1:$R$7,9)</f>
        <v>Summ_Article</v>
      </c>
      <c r="Q183" cm="1">
        <f t="array" aca="1" ref="Q183" ca="1">_xlfn.IFS(P183 ="State_Plan", RANDBETWEEN(1,23), P183 ="State_Code", RANDBETWEEN(1,23), P183 = "Fed_Code", 99, P183 = "Summ_Article", 999, P183 = "Guide", 999)</f>
        <v>999</v>
      </c>
      <c r="R183" t="str">
        <f ca="1">VLOOKUP(Q183,'States and Locations'!$A$1:$B$26,2)</f>
        <v>UNK</v>
      </c>
      <c r="S183">
        <f ca="1">VLOOKUP(Q183,'States and Locations'!$A$1:$D$26,3)</f>
        <v>25</v>
      </c>
      <c r="T183">
        <f ca="1">VLOOKUP(Q183,'States and Locations'!$A$1:$D$26,4)</f>
        <v>-90</v>
      </c>
      <c r="U183">
        <f t="shared" ca="1" si="30"/>
        <v>2</v>
      </c>
      <c r="V183" t="str">
        <f ca="1">VLOOKUP('Master Sheet'!E183,'Code Options'!$A$1:$R$7,10)</f>
        <v>Hab_restoration</v>
      </c>
      <c r="W183">
        <f t="shared" ca="1" si="31"/>
        <v>2</v>
      </c>
      <c r="X183" t="str">
        <f ca="1">VLOOKUP('Master Sheet'!E183,'Code Options'!$A$1:$R$7,11)</f>
        <v>Non-Fish_rec</v>
      </c>
      <c r="Y183">
        <f t="shared" ca="1" si="32"/>
        <v>3</v>
      </c>
      <c r="Z183" t="str">
        <f ca="1">VLOOKUP('Master Sheet'!E183,'Code Options'!$A$1:$R$7,12)</f>
        <v>people_interested</v>
      </c>
    </row>
    <row r="184" spans="1:26" x14ac:dyDescent="0.2">
      <c r="A184">
        <f t="shared" ca="1" si="22"/>
        <v>2</v>
      </c>
      <c r="B184" t="str">
        <f ca="1">VLOOKUP('Master Sheet'!A184,'Code Options'!$A$1:$B$7,2)</f>
        <v>Concrete</v>
      </c>
      <c r="C184">
        <f t="shared" ca="1" si="23"/>
        <v>1</v>
      </c>
      <c r="D184" t="str">
        <f ca="1">VLOOKUP('Master Sheet'!C184,'Code Options'!$A$1:$R$7,3)</f>
        <v>Retro</v>
      </c>
      <c r="E184">
        <f t="shared" ca="1" si="24"/>
        <v>4</v>
      </c>
      <c r="F184" t="str">
        <f ca="1">VLOOKUP('Master Sheet'!E184,'Code Options'!$A$1:$R$7,4)</f>
        <v>LM</v>
      </c>
      <c r="G184">
        <f t="shared" ca="1" si="25"/>
        <v>3</v>
      </c>
      <c r="H184">
        <f ca="1">VLOOKUP('Master Sheet'!E184,'Code Options'!$A$1:$R$7,5)</f>
        <v>0</v>
      </c>
      <c r="I184">
        <f t="shared" ca="1" si="26"/>
        <v>4</v>
      </c>
      <c r="J184" t="str">
        <f ca="1">VLOOKUP('Master Sheet'!G184,'Code Options'!$A$1:$R$7,6)</f>
        <v>Regional</v>
      </c>
      <c r="K184">
        <f t="shared" ca="1" si="27"/>
        <v>1</v>
      </c>
      <c r="L184" t="str">
        <f ca="1">VLOOKUP('Master Sheet'!I184,'Code Options'!$A$1:$R$7,7)</f>
        <v>Biodiversity</v>
      </c>
      <c r="M184">
        <f t="shared" ca="1" si="28"/>
        <v>5</v>
      </c>
      <c r="N184" t="str">
        <f ca="1">VLOOKUP('Master Sheet'!K184,'Code Options'!$A$1:$R$7,8)</f>
        <v>Fish.Enhancement</v>
      </c>
      <c r="O184">
        <f t="shared" ca="1" si="29"/>
        <v>3</v>
      </c>
      <c r="P184" t="str">
        <f ca="1">VLOOKUP('Master Sheet'!E184,'Code Options'!$A$1:$R$7,9)</f>
        <v>Summ_Article</v>
      </c>
      <c r="Q184" cm="1">
        <f t="array" aca="1" ref="Q184" ca="1">_xlfn.IFS(P184 ="State_Plan", RANDBETWEEN(1,23), P184 ="State_Code", RANDBETWEEN(1,23), P184 = "Fed_Code", 99, P184 = "Summ_Article", 999, P184 = "Guide", 999)</f>
        <v>999</v>
      </c>
      <c r="R184" t="str">
        <f ca="1">VLOOKUP(Q184,'States and Locations'!$A$1:$B$26,2)</f>
        <v>UNK</v>
      </c>
      <c r="S184">
        <f ca="1">VLOOKUP(Q184,'States and Locations'!$A$1:$D$26,3)</f>
        <v>25</v>
      </c>
      <c r="T184">
        <f ca="1">VLOOKUP(Q184,'States and Locations'!$A$1:$D$26,4)</f>
        <v>-90</v>
      </c>
      <c r="U184">
        <f t="shared" ca="1" si="30"/>
        <v>4</v>
      </c>
      <c r="V184" t="str">
        <f ca="1">VLOOKUP('Master Sheet'!E184,'Code Options'!$A$1:$R$7,10)</f>
        <v>Hab_restoration</v>
      </c>
      <c r="W184">
        <f t="shared" ca="1" si="31"/>
        <v>5</v>
      </c>
      <c r="X184" t="str">
        <f ca="1">VLOOKUP('Master Sheet'!E184,'Code Options'!$A$1:$R$7,11)</f>
        <v>Non-Fish_rec</v>
      </c>
      <c r="Y184">
        <f t="shared" ca="1" si="32"/>
        <v>2</v>
      </c>
      <c r="Z184" t="str">
        <f ca="1">VLOOKUP('Master Sheet'!E184,'Code Options'!$A$1:$R$7,12)</f>
        <v>people_interested</v>
      </c>
    </row>
    <row r="185" spans="1:26" x14ac:dyDescent="0.2">
      <c r="A185">
        <f t="shared" ca="1" si="22"/>
        <v>2</v>
      </c>
      <c r="B185" t="str">
        <f ca="1">VLOOKUP('Master Sheet'!A185,'Code Options'!$A$1:$B$7,2)</f>
        <v>Concrete</v>
      </c>
      <c r="C185">
        <f t="shared" ca="1" si="23"/>
        <v>2</v>
      </c>
      <c r="D185" t="str">
        <f ca="1">VLOOKUP('Master Sheet'!C185,'Code Options'!$A$1:$R$7,3)</f>
        <v>Pro</v>
      </c>
      <c r="E185">
        <f t="shared" ca="1" si="24"/>
        <v>1</v>
      </c>
      <c r="F185" t="str">
        <f ca="1">VLOOKUP('Master Sheet'!E185,'Code Options'!$A$1:$R$7,4)</f>
        <v>Will</v>
      </c>
      <c r="G185">
        <f t="shared" ca="1" si="25"/>
        <v>3</v>
      </c>
      <c r="H185" t="str">
        <f ca="1">VLOOKUP('Master Sheet'!E185,'Code Options'!$A$1:$R$7,5)</f>
        <v>Will</v>
      </c>
      <c r="I185">
        <f t="shared" ca="1" si="26"/>
        <v>4</v>
      </c>
      <c r="J185" t="str">
        <f ca="1">VLOOKUP('Master Sheet'!G185,'Code Options'!$A$1:$R$7,6)</f>
        <v>Regional</v>
      </c>
      <c r="K185">
        <f t="shared" ca="1" si="27"/>
        <v>4</v>
      </c>
      <c r="L185" t="str">
        <f ca="1">VLOOKUP('Master Sheet'!I185,'Code Options'!$A$1:$R$7,7)</f>
        <v>Biodiversity</v>
      </c>
      <c r="M185">
        <f t="shared" ca="1" si="28"/>
        <v>3</v>
      </c>
      <c r="N185" t="str">
        <f ca="1">VLOOKUP('Master Sheet'!K185,'Code Options'!$A$1:$R$7,8)</f>
        <v>Creation of AR Mat</v>
      </c>
      <c r="O185">
        <f t="shared" ca="1" si="29"/>
        <v>2</v>
      </c>
      <c r="P185" t="str">
        <f ca="1">VLOOKUP('Master Sheet'!E185,'Code Options'!$A$1:$R$7,9)</f>
        <v>State_Code</v>
      </c>
      <c r="Q185" cm="1">
        <f t="array" aca="1" ref="Q185" ca="1">_xlfn.IFS(P185 ="State_Plan", RANDBETWEEN(1,23), P185 ="State_Code", RANDBETWEEN(1,23), P185 = "Fed_Code", 99, P185 = "Summ_Article", 999, P185 = "Guide", 999)</f>
        <v>11</v>
      </c>
      <c r="R185" t="str">
        <f ca="1">VLOOKUP(Q185,'States and Locations'!$A$1:$B$26,2)</f>
        <v>North Carolina</v>
      </c>
      <c r="S185">
        <f ca="1">VLOOKUP(Q185,'States and Locations'!$A$1:$D$26,3)</f>
        <v>35.783299999999997</v>
      </c>
      <c r="T185">
        <f ca="1">VLOOKUP(Q185,'States and Locations'!$A$1:$D$26,4)</f>
        <v>-79.816699999999997</v>
      </c>
      <c r="U185">
        <f t="shared" ca="1" si="30"/>
        <v>4</v>
      </c>
      <c r="V185" t="str">
        <f ca="1">VLOOKUP('Master Sheet'!E185,'Code Options'!$A$1:$R$7,10)</f>
        <v>Hab_enhancement</v>
      </c>
      <c r="W185">
        <f t="shared" ca="1" si="31"/>
        <v>1</v>
      </c>
      <c r="X185" t="str">
        <f ca="1">VLOOKUP('Master Sheet'!E185,'Code Options'!$A$1:$R$7,11)</f>
        <v>Rec_Fish</v>
      </c>
      <c r="Y185">
        <f t="shared" ca="1" si="32"/>
        <v>3</v>
      </c>
      <c r="Z185" t="str">
        <f ca="1">VLOOKUP('Master Sheet'!E185,'Code Options'!$A$1:$R$7,12)</f>
        <v>AR_proj_plan_mngrs</v>
      </c>
    </row>
    <row r="186" spans="1:26" x14ac:dyDescent="0.2">
      <c r="A186">
        <f t="shared" ca="1" si="22"/>
        <v>5</v>
      </c>
      <c r="B186" t="str">
        <f ca="1">VLOOKUP('Master Sheet'!A186,'Code Options'!$A$1:$B$7,2)</f>
        <v>Rock</v>
      </c>
      <c r="C186">
        <f t="shared" ca="1" si="23"/>
        <v>1</v>
      </c>
      <c r="D186" t="str">
        <f ca="1">VLOOKUP('Master Sheet'!C186,'Code Options'!$A$1:$R$7,3)</f>
        <v>Retro</v>
      </c>
      <c r="E186">
        <f t="shared" ca="1" si="24"/>
        <v>5</v>
      </c>
      <c r="F186" t="str">
        <f ca="1">VLOOKUP('Master Sheet'!E186,'Code Options'!$A$1:$R$7,4)</f>
        <v>Nick</v>
      </c>
      <c r="G186">
        <f t="shared" ca="1" si="25"/>
        <v>2</v>
      </c>
      <c r="H186">
        <f ca="1">VLOOKUP('Master Sheet'!E186,'Code Options'!$A$1:$R$7,5)</f>
        <v>0</v>
      </c>
      <c r="I186">
        <f t="shared" ca="1" si="26"/>
        <v>3</v>
      </c>
      <c r="J186" t="str">
        <f ca="1">VLOOKUP('Master Sheet'!G186,'Code Options'!$A$1:$R$7,6)</f>
        <v>State</v>
      </c>
      <c r="K186">
        <f t="shared" ca="1" si="27"/>
        <v>3</v>
      </c>
      <c r="L186" t="str">
        <f ca="1">VLOOKUP('Master Sheet'!I186,'Code Options'!$A$1:$R$7,7)</f>
        <v>Aggregation</v>
      </c>
      <c r="M186">
        <f t="shared" ca="1" si="28"/>
        <v>1</v>
      </c>
      <c r="N186" t="str">
        <f ca="1">VLOOKUP('Master Sheet'!K186,'Code Options'!$A$1:$R$7,8)</f>
        <v>Rec.Fish.Mngmt</v>
      </c>
      <c r="O186">
        <f t="shared" ca="1" si="29"/>
        <v>2</v>
      </c>
      <c r="P186" t="str">
        <f ca="1">VLOOKUP('Master Sheet'!E186,'Code Options'!$A$1:$R$7,9)</f>
        <v>Guide</v>
      </c>
      <c r="Q186" cm="1">
        <f t="array" aca="1" ref="Q186" ca="1">_xlfn.IFS(P186 ="State_Plan", RANDBETWEEN(1,23), P186 ="State_Code", RANDBETWEEN(1,23), P186 = "Fed_Code", 99, P186 = "Summ_Article", 999, P186 = "Guide", 999)</f>
        <v>999</v>
      </c>
      <c r="R186" t="str">
        <f ca="1">VLOOKUP(Q186,'States and Locations'!$A$1:$B$26,2)</f>
        <v>UNK</v>
      </c>
      <c r="S186">
        <f ca="1">VLOOKUP(Q186,'States and Locations'!$A$1:$D$26,3)</f>
        <v>25</v>
      </c>
      <c r="T186">
        <f ca="1">VLOOKUP(Q186,'States and Locations'!$A$1:$D$26,4)</f>
        <v>-90</v>
      </c>
      <c r="U186">
        <f t="shared" ca="1" si="30"/>
        <v>1</v>
      </c>
      <c r="V186" t="str">
        <f ca="1">VLOOKUP('Master Sheet'!E186,'Code Options'!$A$1:$R$7,10)</f>
        <v>Wave_attenuation</v>
      </c>
      <c r="W186">
        <f t="shared" ca="1" si="31"/>
        <v>2</v>
      </c>
      <c r="X186" t="str">
        <f ca="1">VLOOKUP('Master Sheet'!E186,'Code Options'!$A$1:$R$7,11)</f>
        <v>Scuba</v>
      </c>
      <c r="Y186">
        <f t="shared" ca="1" si="32"/>
        <v>1</v>
      </c>
      <c r="Z186" t="str">
        <f ca="1">VLOOKUP('Master Sheet'!E186,'Code Options'!$A$1:$R$7,12)</f>
        <v>anglers</v>
      </c>
    </row>
    <row r="187" spans="1:26" x14ac:dyDescent="0.2">
      <c r="A187">
        <f t="shared" ca="1" si="22"/>
        <v>3</v>
      </c>
      <c r="B187" t="str">
        <f ca="1">VLOOKUP('Master Sheet'!A187,'Code Options'!$A$1:$B$7,2)</f>
        <v>Metal</v>
      </c>
      <c r="C187">
        <f t="shared" ca="1" si="23"/>
        <v>2</v>
      </c>
      <c r="D187" t="str">
        <f ca="1">VLOOKUP('Master Sheet'!C187,'Code Options'!$A$1:$R$7,3)</f>
        <v>Pro</v>
      </c>
      <c r="E187">
        <f t="shared" ca="1" si="24"/>
        <v>4</v>
      </c>
      <c r="F187" t="str">
        <f ca="1">VLOOKUP('Master Sheet'!E187,'Code Options'!$A$1:$R$7,4)</f>
        <v>LM</v>
      </c>
      <c r="G187">
        <f t="shared" ca="1" si="25"/>
        <v>2</v>
      </c>
      <c r="H187">
        <f ca="1">VLOOKUP('Master Sheet'!E187,'Code Options'!$A$1:$R$7,5)</f>
        <v>0</v>
      </c>
      <c r="I187">
        <f t="shared" ca="1" si="26"/>
        <v>3</v>
      </c>
      <c r="J187" t="str">
        <f ca="1">VLOOKUP('Master Sheet'!G187,'Code Options'!$A$1:$R$7,6)</f>
        <v>State</v>
      </c>
      <c r="K187">
        <f t="shared" ca="1" si="27"/>
        <v>3</v>
      </c>
      <c r="L187" t="str">
        <f ca="1">VLOOKUP('Master Sheet'!I187,'Code Options'!$A$1:$R$7,7)</f>
        <v>Aggregation</v>
      </c>
      <c r="M187">
        <f t="shared" ca="1" si="28"/>
        <v>2</v>
      </c>
      <c r="N187" t="str">
        <f ca="1">VLOOKUP('Master Sheet'!K187,'Code Options'!$A$1:$R$7,8)</f>
        <v>Rec.Fish.Mngmt</v>
      </c>
      <c r="O187">
        <f t="shared" ca="1" si="29"/>
        <v>5</v>
      </c>
      <c r="P187" t="str">
        <f ca="1">VLOOKUP('Master Sheet'!E187,'Code Options'!$A$1:$R$7,9)</f>
        <v>Summ_Article</v>
      </c>
      <c r="Q187" cm="1">
        <f t="array" aca="1" ref="Q187" ca="1">_xlfn.IFS(P187 ="State_Plan", RANDBETWEEN(1,23), P187 ="State_Code", RANDBETWEEN(1,23), P187 = "Fed_Code", 99, P187 = "Summ_Article", 999, P187 = "Guide", 999)</f>
        <v>999</v>
      </c>
      <c r="R187" t="str">
        <f ca="1">VLOOKUP(Q187,'States and Locations'!$A$1:$B$26,2)</f>
        <v>UNK</v>
      </c>
      <c r="S187">
        <f ca="1">VLOOKUP(Q187,'States and Locations'!$A$1:$D$26,3)</f>
        <v>25</v>
      </c>
      <c r="T187">
        <f ca="1">VLOOKUP(Q187,'States and Locations'!$A$1:$D$26,4)</f>
        <v>-90</v>
      </c>
      <c r="U187">
        <f t="shared" ca="1" si="30"/>
        <v>2</v>
      </c>
      <c r="V187" t="str">
        <f ca="1">VLOOKUP('Master Sheet'!E187,'Code Options'!$A$1:$R$7,10)</f>
        <v>Hab_restoration</v>
      </c>
      <c r="W187">
        <f t="shared" ca="1" si="31"/>
        <v>5</v>
      </c>
      <c r="X187" t="str">
        <f ca="1">VLOOKUP('Master Sheet'!E187,'Code Options'!$A$1:$R$7,11)</f>
        <v>Non-Fish_rec</v>
      </c>
      <c r="Y187">
        <f t="shared" ca="1" si="32"/>
        <v>2</v>
      </c>
      <c r="Z187" t="str">
        <f ca="1">VLOOKUP('Master Sheet'!E187,'Code Options'!$A$1:$R$7,12)</f>
        <v>people_interested</v>
      </c>
    </row>
    <row r="188" spans="1:26" x14ac:dyDescent="0.2">
      <c r="A188">
        <f t="shared" ca="1" si="22"/>
        <v>2</v>
      </c>
      <c r="B188" t="str">
        <f ca="1">VLOOKUP('Master Sheet'!A188,'Code Options'!$A$1:$B$7,2)</f>
        <v>Concrete</v>
      </c>
      <c r="C188">
        <f t="shared" ca="1" si="23"/>
        <v>3</v>
      </c>
      <c r="D188" t="str">
        <f ca="1">VLOOKUP('Master Sheet'!C188,'Code Options'!$A$1:$R$7,3)</f>
        <v>Unsure</v>
      </c>
      <c r="E188">
        <f t="shared" ca="1" si="24"/>
        <v>4</v>
      </c>
      <c r="F188" t="str">
        <f ca="1">VLOOKUP('Master Sheet'!E188,'Code Options'!$A$1:$R$7,4)</f>
        <v>LM</v>
      </c>
      <c r="G188">
        <f t="shared" ca="1" si="25"/>
        <v>2</v>
      </c>
      <c r="H188">
        <f ca="1">VLOOKUP('Master Sheet'!E188,'Code Options'!$A$1:$R$7,5)</f>
        <v>0</v>
      </c>
      <c r="I188">
        <f t="shared" ca="1" si="26"/>
        <v>4</v>
      </c>
      <c r="J188" t="str">
        <f ca="1">VLOOKUP('Master Sheet'!G188,'Code Options'!$A$1:$R$7,6)</f>
        <v>State</v>
      </c>
      <c r="K188">
        <f t="shared" ca="1" si="27"/>
        <v>3</v>
      </c>
      <c r="L188" t="str">
        <f ca="1">VLOOKUP('Master Sheet'!I188,'Code Options'!$A$1:$R$7,7)</f>
        <v>Biodiversity</v>
      </c>
      <c r="M188">
        <f t="shared" ca="1" si="28"/>
        <v>5</v>
      </c>
      <c r="N188" t="str">
        <f ca="1">VLOOKUP('Master Sheet'!K188,'Code Options'!$A$1:$R$7,8)</f>
        <v>Rec.Fish.Mngmt</v>
      </c>
      <c r="O188">
        <f t="shared" ca="1" si="29"/>
        <v>4</v>
      </c>
      <c r="P188" t="str">
        <f ca="1">VLOOKUP('Master Sheet'!E188,'Code Options'!$A$1:$R$7,9)</f>
        <v>Summ_Article</v>
      </c>
      <c r="Q188" cm="1">
        <f t="array" aca="1" ref="Q188" ca="1">_xlfn.IFS(P188 ="State_Plan", RANDBETWEEN(1,23), P188 ="State_Code", RANDBETWEEN(1,23), P188 = "Fed_Code", 99, P188 = "Summ_Article", 999, P188 = "Guide", 999)</f>
        <v>999</v>
      </c>
      <c r="R188" t="str">
        <f ca="1">VLOOKUP(Q188,'States and Locations'!$A$1:$B$26,2)</f>
        <v>UNK</v>
      </c>
      <c r="S188">
        <f ca="1">VLOOKUP(Q188,'States and Locations'!$A$1:$D$26,3)</f>
        <v>25</v>
      </c>
      <c r="T188">
        <f ca="1">VLOOKUP(Q188,'States and Locations'!$A$1:$D$26,4)</f>
        <v>-90</v>
      </c>
      <c r="U188">
        <f t="shared" ca="1" si="30"/>
        <v>5</v>
      </c>
      <c r="V188" t="str">
        <f ca="1">VLOOKUP('Master Sheet'!E188,'Code Options'!$A$1:$R$7,10)</f>
        <v>Hab_restoration</v>
      </c>
      <c r="W188">
        <f t="shared" ca="1" si="31"/>
        <v>5</v>
      </c>
      <c r="X188" t="str">
        <f ca="1">VLOOKUP('Master Sheet'!E188,'Code Options'!$A$1:$R$7,11)</f>
        <v>Non-Fish_rec</v>
      </c>
      <c r="Y188">
        <f t="shared" ca="1" si="32"/>
        <v>1</v>
      </c>
      <c r="Z188" t="str">
        <f ca="1">VLOOKUP('Master Sheet'!E188,'Code Options'!$A$1:$R$7,12)</f>
        <v>people_interested</v>
      </c>
    </row>
    <row r="189" spans="1:26" x14ac:dyDescent="0.2">
      <c r="A189">
        <f t="shared" ca="1" si="22"/>
        <v>2</v>
      </c>
      <c r="B189" t="str">
        <f ca="1">VLOOKUP('Master Sheet'!A189,'Code Options'!$A$1:$B$7,2)</f>
        <v>Concrete</v>
      </c>
      <c r="C189">
        <f t="shared" ca="1" si="23"/>
        <v>2</v>
      </c>
      <c r="D189" t="str">
        <f ca="1">VLOOKUP('Master Sheet'!C189,'Code Options'!$A$1:$R$7,3)</f>
        <v>Pro</v>
      </c>
      <c r="E189">
        <f t="shared" ca="1" si="24"/>
        <v>3</v>
      </c>
      <c r="F189" t="str">
        <f ca="1">VLOOKUP('Master Sheet'!E189,'Code Options'!$A$1:$R$7,4)</f>
        <v>Jon</v>
      </c>
      <c r="G189">
        <f t="shared" ca="1" si="25"/>
        <v>1</v>
      </c>
      <c r="H189" t="str">
        <f ca="1">VLOOKUP('Master Sheet'!E189,'Code Options'!$A$1:$R$7,5)</f>
        <v>Nick</v>
      </c>
      <c r="I189">
        <f t="shared" ca="1" si="26"/>
        <v>1</v>
      </c>
      <c r="J189" t="str">
        <f ca="1">VLOOKUP('Master Sheet'!G189,'Code Options'!$A$1:$R$7,6)</f>
        <v>County/Local</v>
      </c>
      <c r="K189">
        <f t="shared" ca="1" si="27"/>
        <v>2</v>
      </c>
      <c r="L189" t="str">
        <f ca="1">VLOOKUP('Master Sheet'!I189,'Code Options'!$A$1:$R$7,7)</f>
        <v>Habitat</v>
      </c>
      <c r="M189">
        <f t="shared" ca="1" si="28"/>
        <v>5</v>
      </c>
      <c r="N189" t="str">
        <f ca="1">VLOOKUP('Master Sheet'!K189,'Code Options'!$A$1:$R$7,8)</f>
        <v>Comm.Fish.Mngmt</v>
      </c>
      <c r="O189">
        <f t="shared" ca="1" si="29"/>
        <v>2</v>
      </c>
      <c r="P189" t="str">
        <f ca="1">VLOOKUP('Master Sheet'!E189,'Code Options'!$A$1:$R$7,9)</f>
        <v>State_Plan</v>
      </c>
      <c r="Q189" cm="1">
        <f t="array" aca="1" ref="Q189" ca="1">_xlfn.IFS(P189 ="State_Plan", RANDBETWEEN(1,23), P189 ="State_Code", RANDBETWEEN(1,23), P189 = "Fed_Code", 99, P189 = "Summ_Article", 999, P189 = "Guide", 999)</f>
        <v>16</v>
      </c>
      <c r="R189" t="str">
        <f ca="1">VLOOKUP(Q189,'States and Locations'!$A$1:$B$26,2)</f>
        <v>Louisiana</v>
      </c>
      <c r="S189">
        <f ca="1">VLOOKUP(Q189,'States and Locations'!$A$1:$D$26,3)</f>
        <v>30.4</v>
      </c>
      <c r="T189">
        <f ca="1">VLOOKUP(Q189,'States and Locations'!$A$1:$D$26,4)</f>
        <v>-92.333299999999994</v>
      </c>
      <c r="U189">
        <f t="shared" ca="1" si="30"/>
        <v>3</v>
      </c>
      <c r="V189" t="str">
        <f ca="1">VLOOKUP('Master Sheet'!E189,'Code Options'!$A$1:$R$7,10)</f>
        <v>Mitig.</v>
      </c>
      <c r="W189">
        <f t="shared" ca="1" si="31"/>
        <v>2</v>
      </c>
      <c r="X189" t="str">
        <f ca="1">VLOOKUP('Master Sheet'!E189,'Code Options'!$A$1:$R$7,11)</f>
        <v>Chart_Fish</v>
      </c>
      <c r="Y189">
        <f t="shared" ca="1" si="32"/>
        <v>1</v>
      </c>
      <c r="Z189" t="str">
        <f ca="1">VLOOKUP('Master Sheet'!E189,'Code Options'!$A$1:$R$7,12)</f>
        <v>Permit_reg_agencies</v>
      </c>
    </row>
    <row r="190" spans="1:26" x14ac:dyDescent="0.2">
      <c r="A190">
        <f t="shared" ca="1" si="22"/>
        <v>4</v>
      </c>
      <c r="B190" t="str">
        <f ca="1">VLOOKUP('Master Sheet'!A190,'Code Options'!$A$1:$B$7,2)</f>
        <v>Other</v>
      </c>
      <c r="C190">
        <f t="shared" ca="1" si="23"/>
        <v>1</v>
      </c>
      <c r="D190" t="str">
        <f ca="1">VLOOKUP('Master Sheet'!C190,'Code Options'!$A$1:$R$7,3)</f>
        <v>Retro</v>
      </c>
      <c r="E190">
        <f t="shared" ca="1" si="24"/>
        <v>4</v>
      </c>
      <c r="F190" t="str">
        <f ca="1">VLOOKUP('Master Sheet'!E190,'Code Options'!$A$1:$R$7,4)</f>
        <v>LM</v>
      </c>
      <c r="G190">
        <f t="shared" ca="1" si="25"/>
        <v>2</v>
      </c>
      <c r="H190">
        <f ca="1">VLOOKUP('Master Sheet'!E190,'Code Options'!$A$1:$R$7,5)</f>
        <v>0</v>
      </c>
      <c r="I190">
        <f t="shared" ca="1" si="26"/>
        <v>3</v>
      </c>
      <c r="J190" t="str">
        <f ca="1">VLOOKUP('Master Sheet'!G190,'Code Options'!$A$1:$R$7,6)</f>
        <v>State</v>
      </c>
      <c r="K190">
        <f t="shared" ca="1" si="27"/>
        <v>4</v>
      </c>
      <c r="L190" t="str">
        <f ca="1">VLOOKUP('Master Sheet'!I190,'Code Options'!$A$1:$R$7,7)</f>
        <v>Aggregation</v>
      </c>
      <c r="M190">
        <f t="shared" ca="1" si="28"/>
        <v>1</v>
      </c>
      <c r="N190" t="str">
        <f ca="1">VLOOKUP('Master Sheet'!K190,'Code Options'!$A$1:$R$7,8)</f>
        <v>Creation of AR Mat</v>
      </c>
      <c r="O190">
        <f t="shared" ca="1" si="29"/>
        <v>2</v>
      </c>
      <c r="P190" t="str">
        <f ca="1">VLOOKUP('Master Sheet'!E190,'Code Options'!$A$1:$R$7,9)</f>
        <v>Summ_Article</v>
      </c>
      <c r="Q190" cm="1">
        <f t="array" aca="1" ref="Q190" ca="1">_xlfn.IFS(P190 ="State_Plan", RANDBETWEEN(1,23), P190 ="State_Code", RANDBETWEEN(1,23), P190 = "Fed_Code", 99, P190 = "Summ_Article", 999, P190 = "Guide", 999)</f>
        <v>999</v>
      </c>
      <c r="R190" t="str">
        <f ca="1">VLOOKUP(Q190,'States and Locations'!$A$1:$B$26,2)</f>
        <v>UNK</v>
      </c>
      <c r="S190">
        <f ca="1">VLOOKUP(Q190,'States and Locations'!$A$1:$D$26,3)</f>
        <v>25</v>
      </c>
      <c r="T190">
        <f ca="1">VLOOKUP(Q190,'States and Locations'!$A$1:$D$26,4)</f>
        <v>-90</v>
      </c>
      <c r="U190">
        <f t="shared" ca="1" si="30"/>
        <v>5</v>
      </c>
      <c r="V190" t="str">
        <f ca="1">VLOOKUP('Master Sheet'!E190,'Code Options'!$A$1:$R$7,10)</f>
        <v>Hab_restoration</v>
      </c>
      <c r="W190">
        <f t="shared" ca="1" si="31"/>
        <v>4</v>
      </c>
      <c r="X190" t="str">
        <f ca="1">VLOOKUP('Master Sheet'!E190,'Code Options'!$A$1:$R$7,11)</f>
        <v>Non-Fish_rec</v>
      </c>
      <c r="Y190">
        <f t="shared" ca="1" si="32"/>
        <v>5</v>
      </c>
      <c r="Z190" t="str">
        <f ca="1">VLOOKUP('Master Sheet'!E190,'Code Options'!$A$1:$R$7,12)</f>
        <v>people_interested</v>
      </c>
    </row>
    <row r="191" spans="1:26" x14ac:dyDescent="0.2">
      <c r="A191">
        <f t="shared" ca="1" si="22"/>
        <v>4</v>
      </c>
      <c r="B191" t="str">
        <f ca="1">VLOOKUP('Master Sheet'!A191,'Code Options'!$A$1:$B$7,2)</f>
        <v>Other</v>
      </c>
      <c r="C191">
        <f t="shared" ca="1" si="23"/>
        <v>1</v>
      </c>
      <c r="D191" t="str">
        <f ca="1">VLOOKUP('Master Sheet'!C191,'Code Options'!$A$1:$R$7,3)</f>
        <v>Retro</v>
      </c>
      <c r="E191">
        <f t="shared" ca="1" si="24"/>
        <v>3</v>
      </c>
      <c r="F191" t="str">
        <f ca="1">VLOOKUP('Master Sheet'!E191,'Code Options'!$A$1:$R$7,4)</f>
        <v>Jon</v>
      </c>
      <c r="G191">
        <f t="shared" ca="1" si="25"/>
        <v>1</v>
      </c>
      <c r="H191" t="str">
        <f ca="1">VLOOKUP('Master Sheet'!E191,'Code Options'!$A$1:$R$7,5)</f>
        <v>Nick</v>
      </c>
      <c r="I191">
        <f t="shared" ca="1" si="26"/>
        <v>4</v>
      </c>
      <c r="J191" t="str">
        <f ca="1">VLOOKUP('Master Sheet'!G191,'Code Options'!$A$1:$R$7,6)</f>
        <v>County/Local</v>
      </c>
      <c r="K191">
        <f t="shared" ca="1" si="27"/>
        <v>3</v>
      </c>
      <c r="L191" t="str">
        <f ca="1">VLOOKUP('Master Sheet'!I191,'Code Options'!$A$1:$R$7,7)</f>
        <v>Biodiversity</v>
      </c>
      <c r="M191">
        <f t="shared" ca="1" si="28"/>
        <v>4</v>
      </c>
      <c r="N191" t="str">
        <f ca="1">VLOOKUP('Master Sheet'!K191,'Code Options'!$A$1:$R$7,8)</f>
        <v>Rec.Fish.Mngmt</v>
      </c>
      <c r="O191">
        <f t="shared" ca="1" si="29"/>
        <v>2</v>
      </c>
      <c r="P191" t="str">
        <f ca="1">VLOOKUP('Master Sheet'!E191,'Code Options'!$A$1:$R$7,9)</f>
        <v>State_Plan</v>
      </c>
      <c r="Q191" cm="1">
        <f t="array" aca="1" ref="Q191" ca="1">_xlfn.IFS(P191 ="State_Plan", RANDBETWEEN(1,23), P191 ="State_Code", RANDBETWEEN(1,23), P191 = "Fed_Code", 99, P191 = "Summ_Article", 999, P191 = "Guide", 999)</f>
        <v>15</v>
      </c>
      <c r="R191" t="str">
        <f ca="1">VLOOKUP(Q191,'States and Locations'!$A$1:$B$26,2)</f>
        <v>Texas</v>
      </c>
      <c r="S191">
        <f ca="1">VLOOKUP(Q191,'States and Locations'!$A$1:$D$26,3)</f>
        <v>31.466699999999999</v>
      </c>
      <c r="T191">
        <f ca="1">VLOOKUP(Q191,'States and Locations'!$A$1:$D$26,4)</f>
        <v>-99.333299999999994</v>
      </c>
      <c r="U191">
        <f t="shared" ca="1" si="30"/>
        <v>1</v>
      </c>
      <c r="V191" t="str">
        <f ca="1">VLOOKUP('Master Sheet'!E191,'Code Options'!$A$1:$R$7,10)</f>
        <v>Mitig.</v>
      </c>
      <c r="W191">
        <f t="shared" ca="1" si="31"/>
        <v>2</v>
      </c>
      <c r="X191" t="str">
        <f ca="1">VLOOKUP('Master Sheet'!E191,'Code Options'!$A$1:$R$7,11)</f>
        <v>Chart_Fish</v>
      </c>
      <c r="Y191">
        <f t="shared" ca="1" si="32"/>
        <v>2</v>
      </c>
      <c r="Z191" t="str">
        <f ca="1">VLOOKUP('Master Sheet'!E191,'Code Options'!$A$1:$R$7,12)</f>
        <v>Permit_reg_agencies</v>
      </c>
    </row>
    <row r="192" spans="1:26" x14ac:dyDescent="0.2">
      <c r="A192">
        <f t="shared" ca="1" si="22"/>
        <v>4</v>
      </c>
      <c r="B192" t="str">
        <f ca="1">VLOOKUP('Master Sheet'!A192,'Code Options'!$A$1:$B$7,2)</f>
        <v>Other</v>
      </c>
      <c r="C192">
        <f t="shared" ca="1" si="23"/>
        <v>3</v>
      </c>
      <c r="D192" t="str">
        <f ca="1">VLOOKUP('Master Sheet'!C192,'Code Options'!$A$1:$R$7,3)</f>
        <v>Unsure</v>
      </c>
      <c r="E192">
        <f t="shared" ca="1" si="24"/>
        <v>2</v>
      </c>
      <c r="F192" t="str">
        <f ca="1">VLOOKUP('Master Sheet'!E192,'Code Options'!$A$1:$R$7,4)</f>
        <v>Cyndi</v>
      </c>
      <c r="G192">
        <f t="shared" ca="1" si="25"/>
        <v>3</v>
      </c>
      <c r="H192" t="str">
        <f ca="1">VLOOKUP('Master Sheet'!E192,'Code Options'!$A$1:$R$7,5)</f>
        <v>Cyndi</v>
      </c>
      <c r="I192">
        <f t="shared" ca="1" si="26"/>
        <v>2</v>
      </c>
      <c r="J192" t="str">
        <f ca="1">VLOOKUP('Master Sheet'!G192,'Code Options'!$A$1:$R$7,6)</f>
        <v>Regional</v>
      </c>
      <c r="K192">
        <f t="shared" ca="1" si="27"/>
        <v>1</v>
      </c>
      <c r="L192" t="str">
        <f ca="1">VLOOKUP('Master Sheet'!I192,'Code Options'!$A$1:$R$7,7)</f>
        <v>Production</v>
      </c>
      <c r="M192">
        <f t="shared" ca="1" si="28"/>
        <v>4</v>
      </c>
      <c r="N192" t="str">
        <f ca="1">VLOOKUP('Master Sheet'!K192,'Code Options'!$A$1:$R$7,8)</f>
        <v>Fish.Enhancement</v>
      </c>
      <c r="O192">
        <f t="shared" ca="1" si="29"/>
        <v>1</v>
      </c>
      <c r="P192" t="str">
        <f ca="1">VLOOKUP('Master Sheet'!E192,'Code Options'!$A$1:$R$7,9)</f>
        <v>Fed_Code</v>
      </c>
      <c r="Q192" cm="1">
        <f t="array" aca="1" ref="Q192" ca="1">_xlfn.IFS(P192 ="State_Plan", RANDBETWEEN(1,23), P192 ="State_Code", RANDBETWEEN(1,23), P192 = "Fed_Code", 99, P192 = "Summ_Article", 999, P192 = "Guide", 999)</f>
        <v>99</v>
      </c>
      <c r="R192" t="str">
        <f ca="1">VLOOKUP(Q192,'States and Locations'!$A$1:$B$26,2)</f>
        <v>National</v>
      </c>
      <c r="S192">
        <f ca="1">VLOOKUP(Q192,'States and Locations'!$A$1:$D$26,3)</f>
        <v>39.833300000000001</v>
      </c>
      <c r="T192">
        <f ca="1">VLOOKUP(Q192,'States and Locations'!$A$1:$D$26,4)</f>
        <v>-98.583299999999994</v>
      </c>
      <c r="U192">
        <f t="shared" ca="1" si="30"/>
        <v>4</v>
      </c>
      <c r="V192" t="str">
        <f ca="1">VLOOKUP('Master Sheet'!E192,'Code Options'!$A$1:$R$7,10)</f>
        <v>Disposal</v>
      </c>
      <c r="W192">
        <f t="shared" ca="1" si="31"/>
        <v>2</v>
      </c>
      <c r="X192" t="str">
        <f ca="1">VLOOKUP('Master Sheet'!E192,'Code Options'!$A$1:$R$7,11)</f>
        <v>Comm_Fish</v>
      </c>
      <c r="Y192">
        <f t="shared" ca="1" si="32"/>
        <v>4</v>
      </c>
      <c r="Z192" t="str">
        <f ca="1">VLOOKUP('Master Sheet'!E192,'Code Options'!$A$1:$R$7,12)</f>
        <v>AS_constructors</v>
      </c>
    </row>
    <row r="193" spans="1:26" x14ac:dyDescent="0.2">
      <c r="A193">
        <f t="shared" ca="1" si="22"/>
        <v>3</v>
      </c>
      <c r="B193" t="str">
        <f ca="1">VLOOKUP('Master Sheet'!A193,'Code Options'!$A$1:$B$7,2)</f>
        <v>Metal</v>
      </c>
      <c r="C193">
        <f t="shared" ca="1" si="23"/>
        <v>2</v>
      </c>
      <c r="D193" t="str">
        <f ca="1">VLOOKUP('Master Sheet'!C193,'Code Options'!$A$1:$R$7,3)</f>
        <v>Pro</v>
      </c>
      <c r="E193">
        <f t="shared" ca="1" si="24"/>
        <v>3</v>
      </c>
      <c r="F193" t="str">
        <f ca="1">VLOOKUP('Master Sheet'!E193,'Code Options'!$A$1:$R$7,4)</f>
        <v>Jon</v>
      </c>
      <c r="G193">
        <f t="shared" ca="1" si="25"/>
        <v>3</v>
      </c>
      <c r="H193" t="str">
        <f ca="1">VLOOKUP('Master Sheet'!E193,'Code Options'!$A$1:$R$7,5)</f>
        <v>Nick</v>
      </c>
      <c r="I193">
        <f t="shared" ca="1" si="26"/>
        <v>3</v>
      </c>
      <c r="J193" t="str">
        <f ca="1">VLOOKUP('Master Sheet'!G193,'Code Options'!$A$1:$R$7,6)</f>
        <v>Regional</v>
      </c>
      <c r="K193">
        <f t="shared" ca="1" si="27"/>
        <v>4</v>
      </c>
      <c r="L193" t="str">
        <f ca="1">VLOOKUP('Master Sheet'!I193,'Code Options'!$A$1:$R$7,7)</f>
        <v>Aggregation</v>
      </c>
      <c r="M193">
        <f t="shared" ca="1" si="28"/>
        <v>3</v>
      </c>
      <c r="N193" t="str">
        <f ca="1">VLOOKUP('Master Sheet'!K193,'Code Options'!$A$1:$R$7,8)</f>
        <v>Creation of AR Mat</v>
      </c>
      <c r="O193">
        <f t="shared" ca="1" si="29"/>
        <v>3</v>
      </c>
      <c r="P193" t="str">
        <f ca="1">VLOOKUP('Master Sheet'!E193,'Code Options'!$A$1:$R$7,9)</f>
        <v>State_Plan</v>
      </c>
      <c r="Q193" cm="1">
        <f t="array" aca="1" ref="Q193" ca="1">_xlfn.IFS(P193 ="State_Plan", RANDBETWEEN(1,23), P193 ="State_Code", RANDBETWEEN(1,23), P193 = "Fed_Code", 99, P193 = "Summ_Article", 999, P193 = "Guide", 999)</f>
        <v>18</v>
      </c>
      <c r="R193" t="str">
        <f ca="1">VLOOKUP(Q193,'States and Locations'!$A$1:$B$26,2)</f>
        <v>Alabama</v>
      </c>
      <c r="S193">
        <f ca="1">VLOOKUP(Q193,'States and Locations'!$A$1:$D$26,3)</f>
        <v>32.833300000000001</v>
      </c>
      <c r="T193">
        <f ca="1">VLOOKUP(Q193,'States and Locations'!$A$1:$D$26,4)</f>
        <v>-86.633300000000006</v>
      </c>
      <c r="U193">
        <f t="shared" ca="1" si="30"/>
        <v>2</v>
      </c>
      <c r="V193" t="str">
        <f ca="1">VLOOKUP('Master Sheet'!E193,'Code Options'!$A$1:$R$7,10)</f>
        <v>Mitig.</v>
      </c>
      <c r="W193">
        <f t="shared" ca="1" si="31"/>
        <v>3</v>
      </c>
      <c r="X193" t="str">
        <f ca="1">VLOOKUP('Master Sheet'!E193,'Code Options'!$A$1:$R$7,11)</f>
        <v>Chart_Fish</v>
      </c>
      <c r="Y193">
        <f t="shared" ca="1" si="32"/>
        <v>2</v>
      </c>
      <c r="Z193" t="str">
        <f ca="1">VLOOKUP('Master Sheet'!E193,'Code Options'!$A$1:$R$7,12)</f>
        <v>Permit_reg_agencies</v>
      </c>
    </row>
    <row r="194" spans="1:26" x14ac:dyDescent="0.2">
      <c r="A194">
        <f t="shared" ca="1" si="22"/>
        <v>3</v>
      </c>
      <c r="B194" t="str">
        <f ca="1">VLOOKUP('Master Sheet'!A194,'Code Options'!$A$1:$B$7,2)</f>
        <v>Metal</v>
      </c>
      <c r="C194">
        <f t="shared" ca="1" si="23"/>
        <v>2</v>
      </c>
      <c r="D194" t="str">
        <f ca="1">VLOOKUP('Master Sheet'!C194,'Code Options'!$A$1:$R$7,3)</f>
        <v>Pro</v>
      </c>
      <c r="E194">
        <f t="shared" ca="1" si="24"/>
        <v>1</v>
      </c>
      <c r="F194" t="str">
        <f ca="1">VLOOKUP('Master Sheet'!E194,'Code Options'!$A$1:$R$7,4)</f>
        <v>Will</v>
      </c>
      <c r="G194">
        <f t="shared" ca="1" si="25"/>
        <v>2</v>
      </c>
      <c r="H194" t="str">
        <f ca="1">VLOOKUP('Master Sheet'!E194,'Code Options'!$A$1:$R$7,5)</f>
        <v>Will</v>
      </c>
      <c r="I194">
        <f t="shared" ca="1" si="26"/>
        <v>1</v>
      </c>
      <c r="J194" t="str">
        <f ca="1">VLOOKUP('Master Sheet'!G194,'Code Options'!$A$1:$R$7,6)</f>
        <v>State</v>
      </c>
      <c r="K194">
        <f t="shared" ca="1" si="27"/>
        <v>4</v>
      </c>
      <c r="L194" t="str">
        <f ca="1">VLOOKUP('Master Sheet'!I194,'Code Options'!$A$1:$R$7,7)</f>
        <v>Habitat</v>
      </c>
      <c r="M194">
        <f t="shared" ca="1" si="28"/>
        <v>4</v>
      </c>
      <c r="N194" t="str">
        <f ca="1">VLOOKUP('Master Sheet'!K194,'Code Options'!$A$1:$R$7,8)</f>
        <v>Creation of AR Mat</v>
      </c>
      <c r="O194">
        <f t="shared" ca="1" si="29"/>
        <v>2</v>
      </c>
      <c r="P194" t="str">
        <f ca="1">VLOOKUP('Master Sheet'!E194,'Code Options'!$A$1:$R$7,9)</f>
        <v>State_Code</v>
      </c>
      <c r="Q194" cm="1">
        <f t="array" aca="1" ref="Q194" ca="1">_xlfn.IFS(P194 ="State_Plan", RANDBETWEEN(1,23), P194 ="State_Code", RANDBETWEEN(1,23), P194 = "Fed_Code", 99, P194 = "Summ_Article", 999, P194 = "Guide", 999)</f>
        <v>3</v>
      </c>
      <c r="R194" t="str">
        <f ca="1">VLOOKUP(Q194,'States and Locations'!$A$1:$B$26,2)</f>
        <v>Massachussetts</v>
      </c>
      <c r="S194">
        <f ca="1">VLOOKUP(Q194,'States and Locations'!$A$1:$D$26,3)</f>
        <v>42.4</v>
      </c>
      <c r="T194">
        <f ca="1">VLOOKUP(Q194,'States and Locations'!$A$1:$D$26,4)</f>
        <v>-71.383300000000006</v>
      </c>
      <c r="U194">
        <f t="shared" ca="1" si="30"/>
        <v>2</v>
      </c>
      <c r="V194" t="str">
        <f ca="1">VLOOKUP('Master Sheet'!E194,'Code Options'!$A$1:$R$7,10)</f>
        <v>Hab_enhancement</v>
      </c>
      <c r="W194">
        <f t="shared" ca="1" si="31"/>
        <v>2</v>
      </c>
      <c r="X194" t="str">
        <f ca="1">VLOOKUP('Master Sheet'!E194,'Code Options'!$A$1:$R$7,11)</f>
        <v>Rec_Fish</v>
      </c>
      <c r="Y194">
        <f t="shared" ca="1" si="32"/>
        <v>1</v>
      </c>
      <c r="Z194" t="str">
        <f ca="1">VLOOKUP('Master Sheet'!E194,'Code Options'!$A$1:$R$7,12)</f>
        <v>AR_proj_plan_mngrs</v>
      </c>
    </row>
    <row r="195" spans="1:26" x14ac:dyDescent="0.2">
      <c r="A195">
        <f t="shared" ref="A195:A251" ca="1" si="33">RANDBETWEEN(1,6)</f>
        <v>2</v>
      </c>
      <c r="B195" t="str">
        <f ca="1">VLOOKUP('Master Sheet'!A195,'Code Options'!$A$1:$B$7,2)</f>
        <v>Concrete</v>
      </c>
      <c r="C195">
        <f t="shared" ref="C195:C251" ca="1" si="34">RANDBETWEEN(1,3)</f>
        <v>3</v>
      </c>
      <c r="D195" t="str">
        <f ca="1">VLOOKUP('Master Sheet'!C195,'Code Options'!$A$1:$R$7,3)</f>
        <v>Unsure</v>
      </c>
      <c r="E195">
        <f t="shared" ref="E195:E251" ca="1" si="35">RANDBETWEEN(1,5)</f>
        <v>2</v>
      </c>
      <c r="F195" t="str">
        <f ca="1">VLOOKUP('Master Sheet'!E195,'Code Options'!$A$1:$R$7,4)</f>
        <v>Cyndi</v>
      </c>
      <c r="G195">
        <f t="shared" ref="G195:G251" ca="1" si="36">RANDBETWEEN(1,3)</f>
        <v>3</v>
      </c>
      <c r="H195" t="str">
        <f ca="1">VLOOKUP('Master Sheet'!E195,'Code Options'!$A$1:$R$7,5)</f>
        <v>Cyndi</v>
      </c>
      <c r="I195">
        <f t="shared" ref="I195:I251" ca="1" si="37">RANDBETWEEN(1,4)</f>
        <v>2</v>
      </c>
      <c r="J195" t="str">
        <f ca="1">VLOOKUP('Master Sheet'!G195,'Code Options'!$A$1:$R$7,6)</f>
        <v>Regional</v>
      </c>
      <c r="K195">
        <f t="shared" ref="K195:K251" ca="1" si="38">RANDBETWEEN(1,4)</f>
        <v>2</v>
      </c>
      <c r="L195" t="str">
        <f ca="1">VLOOKUP('Master Sheet'!I195,'Code Options'!$A$1:$R$7,7)</f>
        <v>Production</v>
      </c>
      <c r="M195">
        <f t="shared" ref="M195:M251" ca="1" si="39">RANDBETWEEN(1,5)</f>
        <v>1</v>
      </c>
      <c r="N195" t="str">
        <f ca="1">VLOOKUP('Master Sheet'!K195,'Code Options'!$A$1:$R$7,8)</f>
        <v>Comm.Fish.Mngmt</v>
      </c>
      <c r="O195">
        <f t="shared" ref="O195:O251" ca="1" si="40">RANDBETWEEN(1,5)</f>
        <v>3</v>
      </c>
      <c r="P195" t="str">
        <f ca="1">VLOOKUP('Master Sheet'!E195,'Code Options'!$A$1:$R$7,9)</f>
        <v>Fed_Code</v>
      </c>
      <c r="Q195" cm="1">
        <f t="array" aca="1" ref="Q195" ca="1">_xlfn.IFS(P195 ="State_Plan", RANDBETWEEN(1,23), P195 ="State_Code", RANDBETWEEN(1,23), P195 = "Fed_Code", 99, P195 = "Summ_Article", 999, P195 = "Guide", 999)</f>
        <v>99</v>
      </c>
      <c r="R195" t="str">
        <f ca="1">VLOOKUP(Q195,'States and Locations'!$A$1:$B$26,2)</f>
        <v>National</v>
      </c>
      <c r="S195">
        <f ca="1">VLOOKUP(Q195,'States and Locations'!$A$1:$D$26,3)</f>
        <v>39.833300000000001</v>
      </c>
      <c r="T195">
        <f ca="1">VLOOKUP(Q195,'States and Locations'!$A$1:$D$26,4)</f>
        <v>-98.583299999999994</v>
      </c>
      <c r="U195">
        <f t="shared" ref="U195:U251" ca="1" si="41">RANDBETWEEN(1,5)</f>
        <v>4</v>
      </c>
      <c r="V195" t="str">
        <f ca="1">VLOOKUP('Master Sheet'!E195,'Code Options'!$A$1:$R$7,10)</f>
        <v>Disposal</v>
      </c>
      <c r="W195">
        <f t="shared" ref="W195:W251" ca="1" si="42">RANDBETWEEN(1,5)</f>
        <v>1</v>
      </c>
      <c r="X195" t="str">
        <f ca="1">VLOOKUP('Master Sheet'!E195,'Code Options'!$A$1:$R$7,11)</f>
        <v>Comm_Fish</v>
      </c>
      <c r="Y195">
        <f t="shared" ref="Y195:Y251" ca="1" si="43">RANDBETWEEN(1,5)</f>
        <v>5</v>
      </c>
      <c r="Z195" t="str">
        <f ca="1">VLOOKUP('Master Sheet'!E195,'Code Options'!$A$1:$R$7,12)</f>
        <v>AS_constructors</v>
      </c>
    </row>
    <row r="196" spans="1:26" x14ac:dyDescent="0.2">
      <c r="A196">
        <f t="shared" ca="1" si="33"/>
        <v>5</v>
      </c>
      <c r="B196" t="str">
        <f ca="1">VLOOKUP('Master Sheet'!A196,'Code Options'!$A$1:$B$7,2)</f>
        <v>Rock</v>
      </c>
      <c r="C196">
        <f t="shared" ca="1" si="34"/>
        <v>1</v>
      </c>
      <c r="D196" t="str">
        <f ca="1">VLOOKUP('Master Sheet'!C196,'Code Options'!$A$1:$R$7,3)</f>
        <v>Retro</v>
      </c>
      <c r="E196">
        <f t="shared" ca="1" si="35"/>
        <v>5</v>
      </c>
      <c r="F196" t="str">
        <f ca="1">VLOOKUP('Master Sheet'!E196,'Code Options'!$A$1:$R$7,4)</f>
        <v>Nick</v>
      </c>
      <c r="G196">
        <f t="shared" ca="1" si="36"/>
        <v>3</v>
      </c>
      <c r="H196">
        <f ca="1">VLOOKUP('Master Sheet'!E196,'Code Options'!$A$1:$R$7,5)</f>
        <v>0</v>
      </c>
      <c r="I196">
        <f t="shared" ca="1" si="37"/>
        <v>4</v>
      </c>
      <c r="J196" t="str">
        <f ca="1">VLOOKUP('Master Sheet'!G196,'Code Options'!$A$1:$R$7,6)</f>
        <v>Regional</v>
      </c>
      <c r="K196">
        <f t="shared" ca="1" si="38"/>
        <v>2</v>
      </c>
      <c r="L196" t="str">
        <f ca="1">VLOOKUP('Master Sheet'!I196,'Code Options'!$A$1:$R$7,7)</f>
        <v>Biodiversity</v>
      </c>
      <c r="M196">
        <f t="shared" ca="1" si="39"/>
        <v>4</v>
      </c>
      <c r="N196" t="str">
        <f ca="1">VLOOKUP('Master Sheet'!K196,'Code Options'!$A$1:$R$7,8)</f>
        <v>Comm.Fish.Mngmt</v>
      </c>
      <c r="O196">
        <f t="shared" ca="1" si="40"/>
        <v>1</v>
      </c>
      <c r="P196" t="str">
        <f ca="1">VLOOKUP('Master Sheet'!E196,'Code Options'!$A$1:$R$7,9)</f>
        <v>Guide</v>
      </c>
      <c r="Q196" cm="1">
        <f t="array" aca="1" ref="Q196" ca="1">_xlfn.IFS(P196 ="State_Plan", RANDBETWEEN(1,23), P196 ="State_Code", RANDBETWEEN(1,23), P196 = "Fed_Code", 99, P196 = "Summ_Article", 999, P196 = "Guide", 999)</f>
        <v>999</v>
      </c>
      <c r="R196" t="str">
        <f ca="1">VLOOKUP(Q196,'States and Locations'!$A$1:$B$26,2)</f>
        <v>UNK</v>
      </c>
      <c r="S196">
        <f ca="1">VLOOKUP(Q196,'States and Locations'!$A$1:$D$26,3)</f>
        <v>25</v>
      </c>
      <c r="T196">
        <f ca="1">VLOOKUP(Q196,'States and Locations'!$A$1:$D$26,4)</f>
        <v>-90</v>
      </c>
      <c r="U196">
        <f t="shared" ca="1" si="41"/>
        <v>4</v>
      </c>
      <c r="V196" t="str">
        <f ca="1">VLOOKUP('Master Sheet'!E196,'Code Options'!$A$1:$R$7,10)</f>
        <v>Wave_attenuation</v>
      </c>
      <c r="W196">
        <f t="shared" ca="1" si="42"/>
        <v>2</v>
      </c>
      <c r="X196" t="str">
        <f ca="1">VLOOKUP('Master Sheet'!E196,'Code Options'!$A$1:$R$7,11)</f>
        <v>Scuba</v>
      </c>
      <c r="Y196">
        <f t="shared" ca="1" si="43"/>
        <v>3</v>
      </c>
      <c r="Z196" t="str">
        <f ca="1">VLOOKUP('Master Sheet'!E196,'Code Options'!$A$1:$R$7,12)</f>
        <v>anglers</v>
      </c>
    </row>
    <row r="197" spans="1:26" x14ac:dyDescent="0.2">
      <c r="A197">
        <f t="shared" ca="1" si="33"/>
        <v>2</v>
      </c>
      <c r="B197" t="str">
        <f ca="1">VLOOKUP('Master Sheet'!A197,'Code Options'!$A$1:$B$7,2)</f>
        <v>Concrete</v>
      </c>
      <c r="C197">
        <f t="shared" ca="1" si="34"/>
        <v>3</v>
      </c>
      <c r="D197" t="str">
        <f ca="1">VLOOKUP('Master Sheet'!C197,'Code Options'!$A$1:$R$7,3)</f>
        <v>Unsure</v>
      </c>
      <c r="E197">
        <f t="shared" ca="1" si="35"/>
        <v>1</v>
      </c>
      <c r="F197" t="str">
        <f ca="1">VLOOKUP('Master Sheet'!E197,'Code Options'!$A$1:$R$7,4)</f>
        <v>Will</v>
      </c>
      <c r="G197">
        <f t="shared" ca="1" si="36"/>
        <v>3</v>
      </c>
      <c r="H197" t="str">
        <f ca="1">VLOOKUP('Master Sheet'!E197,'Code Options'!$A$1:$R$7,5)</f>
        <v>Will</v>
      </c>
      <c r="I197">
        <f t="shared" ca="1" si="37"/>
        <v>1</v>
      </c>
      <c r="J197" t="str">
        <f ca="1">VLOOKUP('Master Sheet'!G197,'Code Options'!$A$1:$R$7,6)</f>
        <v>Regional</v>
      </c>
      <c r="K197">
        <f t="shared" ca="1" si="38"/>
        <v>3</v>
      </c>
      <c r="L197" t="str">
        <f ca="1">VLOOKUP('Master Sheet'!I197,'Code Options'!$A$1:$R$7,7)</f>
        <v>Habitat</v>
      </c>
      <c r="M197">
        <f t="shared" ca="1" si="39"/>
        <v>3</v>
      </c>
      <c r="N197" t="str">
        <f ca="1">VLOOKUP('Master Sheet'!K197,'Code Options'!$A$1:$R$7,8)</f>
        <v>Rec.Fish.Mngmt</v>
      </c>
      <c r="O197">
        <f t="shared" ca="1" si="40"/>
        <v>2</v>
      </c>
      <c r="P197" t="str">
        <f ca="1">VLOOKUP('Master Sheet'!E197,'Code Options'!$A$1:$R$7,9)</f>
        <v>State_Code</v>
      </c>
      <c r="Q197" cm="1">
        <f t="array" aca="1" ref="Q197" ca="1">_xlfn.IFS(P197 ="State_Plan", RANDBETWEEN(1,23), P197 ="State_Code", RANDBETWEEN(1,23), P197 = "Fed_Code", 99, P197 = "Summ_Article", 999, P197 = "Guide", 999)</f>
        <v>16</v>
      </c>
      <c r="R197" t="str">
        <f ca="1">VLOOKUP(Q197,'States and Locations'!$A$1:$B$26,2)</f>
        <v>Louisiana</v>
      </c>
      <c r="S197">
        <f ca="1">VLOOKUP(Q197,'States and Locations'!$A$1:$D$26,3)</f>
        <v>30.4</v>
      </c>
      <c r="T197">
        <f ca="1">VLOOKUP(Q197,'States and Locations'!$A$1:$D$26,4)</f>
        <v>-92.333299999999994</v>
      </c>
      <c r="U197">
        <f t="shared" ca="1" si="41"/>
        <v>3</v>
      </c>
      <c r="V197" t="str">
        <f ca="1">VLOOKUP('Master Sheet'!E197,'Code Options'!$A$1:$R$7,10)</f>
        <v>Hab_enhancement</v>
      </c>
      <c r="W197">
        <f t="shared" ca="1" si="42"/>
        <v>2</v>
      </c>
      <c r="X197" t="str">
        <f ca="1">VLOOKUP('Master Sheet'!E197,'Code Options'!$A$1:$R$7,11)</f>
        <v>Rec_Fish</v>
      </c>
      <c r="Y197">
        <f t="shared" ca="1" si="43"/>
        <v>4</v>
      </c>
      <c r="Z197" t="str">
        <f ca="1">VLOOKUP('Master Sheet'!E197,'Code Options'!$A$1:$R$7,12)</f>
        <v>AR_proj_plan_mngrs</v>
      </c>
    </row>
    <row r="198" spans="1:26" x14ac:dyDescent="0.2">
      <c r="A198">
        <f t="shared" ca="1" si="33"/>
        <v>5</v>
      </c>
      <c r="B198" t="str">
        <f ca="1">VLOOKUP('Master Sheet'!A198,'Code Options'!$A$1:$B$7,2)</f>
        <v>Rock</v>
      </c>
      <c r="C198">
        <f t="shared" ca="1" si="34"/>
        <v>2</v>
      </c>
      <c r="D198" t="str">
        <f ca="1">VLOOKUP('Master Sheet'!C198,'Code Options'!$A$1:$R$7,3)</f>
        <v>Pro</v>
      </c>
      <c r="E198">
        <f t="shared" ca="1" si="35"/>
        <v>5</v>
      </c>
      <c r="F198" t="str">
        <f ca="1">VLOOKUP('Master Sheet'!E198,'Code Options'!$A$1:$R$7,4)</f>
        <v>Nick</v>
      </c>
      <c r="G198">
        <f t="shared" ca="1" si="36"/>
        <v>2</v>
      </c>
      <c r="H198">
        <f ca="1">VLOOKUP('Master Sheet'!E198,'Code Options'!$A$1:$R$7,5)</f>
        <v>0</v>
      </c>
      <c r="I198">
        <f t="shared" ca="1" si="37"/>
        <v>1</v>
      </c>
      <c r="J198" t="str">
        <f ca="1">VLOOKUP('Master Sheet'!G198,'Code Options'!$A$1:$R$7,6)</f>
        <v>State</v>
      </c>
      <c r="K198">
        <f t="shared" ca="1" si="38"/>
        <v>1</v>
      </c>
      <c r="L198" t="str">
        <f ca="1">VLOOKUP('Master Sheet'!I198,'Code Options'!$A$1:$R$7,7)</f>
        <v>Habitat</v>
      </c>
      <c r="M198">
        <f t="shared" ca="1" si="39"/>
        <v>5</v>
      </c>
      <c r="N198" t="str">
        <f ca="1">VLOOKUP('Master Sheet'!K198,'Code Options'!$A$1:$R$7,8)</f>
        <v>Fish.Enhancement</v>
      </c>
      <c r="O198">
        <f t="shared" ca="1" si="40"/>
        <v>5</v>
      </c>
      <c r="P198" t="str">
        <f ca="1">VLOOKUP('Master Sheet'!E198,'Code Options'!$A$1:$R$7,9)</f>
        <v>Guide</v>
      </c>
      <c r="Q198" cm="1">
        <f t="array" aca="1" ref="Q198" ca="1">_xlfn.IFS(P198 ="State_Plan", RANDBETWEEN(1,23), P198 ="State_Code", RANDBETWEEN(1,23), P198 = "Fed_Code", 99, P198 = "Summ_Article", 999, P198 = "Guide", 999)</f>
        <v>999</v>
      </c>
      <c r="R198" t="str">
        <f ca="1">VLOOKUP(Q198,'States and Locations'!$A$1:$B$26,2)</f>
        <v>UNK</v>
      </c>
      <c r="S198">
        <f ca="1">VLOOKUP(Q198,'States and Locations'!$A$1:$D$26,3)</f>
        <v>25</v>
      </c>
      <c r="T198">
        <f ca="1">VLOOKUP(Q198,'States and Locations'!$A$1:$D$26,4)</f>
        <v>-90</v>
      </c>
      <c r="U198">
        <f t="shared" ca="1" si="41"/>
        <v>5</v>
      </c>
      <c r="V198" t="str">
        <f ca="1">VLOOKUP('Master Sheet'!E198,'Code Options'!$A$1:$R$7,10)</f>
        <v>Wave_attenuation</v>
      </c>
      <c r="W198">
        <f t="shared" ca="1" si="42"/>
        <v>5</v>
      </c>
      <c r="X198" t="str">
        <f ca="1">VLOOKUP('Master Sheet'!E198,'Code Options'!$A$1:$R$7,11)</f>
        <v>Scuba</v>
      </c>
      <c r="Y198">
        <f t="shared" ca="1" si="43"/>
        <v>3</v>
      </c>
      <c r="Z198" t="str">
        <f ca="1">VLOOKUP('Master Sheet'!E198,'Code Options'!$A$1:$R$7,12)</f>
        <v>anglers</v>
      </c>
    </row>
    <row r="199" spans="1:26" x14ac:dyDescent="0.2">
      <c r="A199">
        <f t="shared" ca="1" si="33"/>
        <v>5</v>
      </c>
      <c r="B199" t="str">
        <f ca="1">VLOOKUP('Master Sheet'!A199,'Code Options'!$A$1:$B$7,2)</f>
        <v>Rock</v>
      </c>
      <c r="C199">
        <f t="shared" ca="1" si="34"/>
        <v>2</v>
      </c>
      <c r="D199" t="str">
        <f ca="1">VLOOKUP('Master Sheet'!C199,'Code Options'!$A$1:$R$7,3)</f>
        <v>Pro</v>
      </c>
      <c r="E199">
        <f t="shared" ca="1" si="35"/>
        <v>4</v>
      </c>
      <c r="F199" t="str">
        <f ca="1">VLOOKUP('Master Sheet'!E199,'Code Options'!$A$1:$R$7,4)</f>
        <v>LM</v>
      </c>
      <c r="G199">
        <f t="shared" ca="1" si="36"/>
        <v>2</v>
      </c>
      <c r="H199">
        <f ca="1">VLOOKUP('Master Sheet'!E199,'Code Options'!$A$1:$R$7,5)</f>
        <v>0</v>
      </c>
      <c r="I199">
        <f t="shared" ca="1" si="37"/>
        <v>3</v>
      </c>
      <c r="J199" t="str">
        <f ca="1">VLOOKUP('Master Sheet'!G199,'Code Options'!$A$1:$R$7,6)</f>
        <v>State</v>
      </c>
      <c r="K199">
        <f t="shared" ca="1" si="38"/>
        <v>2</v>
      </c>
      <c r="L199" t="str">
        <f ca="1">VLOOKUP('Master Sheet'!I199,'Code Options'!$A$1:$R$7,7)</f>
        <v>Aggregation</v>
      </c>
      <c r="M199">
        <f t="shared" ca="1" si="39"/>
        <v>3</v>
      </c>
      <c r="N199" t="str">
        <f ca="1">VLOOKUP('Master Sheet'!K199,'Code Options'!$A$1:$R$7,8)</f>
        <v>Comm.Fish.Mngmt</v>
      </c>
      <c r="O199">
        <f t="shared" ca="1" si="40"/>
        <v>1</v>
      </c>
      <c r="P199" t="str">
        <f ca="1">VLOOKUP('Master Sheet'!E199,'Code Options'!$A$1:$R$7,9)</f>
        <v>Summ_Article</v>
      </c>
      <c r="Q199" cm="1">
        <f t="array" aca="1" ref="Q199" ca="1">_xlfn.IFS(P199 ="State_Plan", RANDBETWEEN(1,23), P199 ="State_Code", RANDBETWEEN(1,23), P199 = "Fed_Code", 99, P199 = "Summ_Article", 999, P199 = "Guide", 999)</f>
        <v>999</v>
      </c>
      <c r="R199" t="str">
        <f ca="1">VLOOKUP(Q199,'States and Locations'!$A$1:$B$26,2)</f>
        <v>UNK</v>
      </c>
      <c r="S199">
        <f ca="1">VLOOKUP(Q199,'States and Locations'!$A$1:$D$26,3)</f>
        <v>25</v>
      </c>
      <c r="T199">
        <f ca="1">VLOOKUP(Q199,'States and Locations'!$A$1:$D$26,4)</f>
        <v>-90</v>
      </c>
      <c r="U199">
        <f t="shared" ca="1" si="41"/>
        <v>4</v>
      </c>
      <c r="V199" t="str">
        <f ca="1">VLOOKUP('Master Sheet'!E199,'Code Options'!$A$1:$R$7,10)</f>
        <v>Hab_restoration</v>
      </c>
      <c r="W199">
        <f t="shared" ca="1" si="42"/>
        <v>4</v>
      </c>
      <c r="X199" t="str">
        <f ca="1">VLOOKUP('Master Sheet'!E199,'Code Options'!$A$1:$R$7,11)</f>
        <v>Non-Fish_rec</v>
      </c>
      <c r="Y199">
        <f t="shared" ca="1" si="43"/>
        <v>1</v>
      </c>
      <c r="Z199" t="str">
        <f ca="1">VLOOKUP('Master Sheet'!E199,'Code Options'!$A$1:$R$7,12)</f>
        <v>people_interested</v>
      </c>
    </row>
    <row r="200" spans="1:26" x14ac:dyDescent="0.2">
      <c r="A200">
        <f t="shared" ca="1" si="33"/>
        <v>2</v>
      </c>
      <c r="B200" t="str">
        <f ca="1">VLOOKUP('Master Sheet'!A200,'Code Options'!$A$1:$B$7,2)</f>
        <v>Concrete</v>
      </c>
      <c r="C200">
        <f t="shared" ca="1" si="34"/>
        <v>2</v>
      </c>
      <c r="D200" t="str">
        <f ca="1">VLOOKUP('Master Sheet'!C200,'Code Options'!$A$1:$R$7,3)</f>
        <v>Pro</v>
      </c>
      <c r="E200">
        <f t="shared" ca="1" si="35"/>
        <v>5</v>
      </c>
      <c r="F200" t="str">
        <f ca="1">VLOOKUP('Master Sheet'!E200,'Code Options'!$A$1:$R$7,4)</f>
        <v>Nick</v>
      </c>
      <c r="G200">
        <f t="shared" ca="1" si="36"/>
        <v>3</v>
      </c>
      <c r="H200">
        <f ca="1">VLOOKUP('Master Sheet'!E200,'Code Options'!$A$1:$R$7,5)</f>
        <v>0</v>
      </c>
      <c r="I200">
        <f t="shared" ca="1" si="37"/>
        <v>2</v>
      </c>
      <c r="J200" t="str">
        <f ca="1">VLOOKUP('Master Sheet'!G200,'Code Options'!$A$1:$R$7,6)</f>
        <v>Regional</v>
      </c>
      <c r="K200">
        <f t="shared" ca="1" si="38"/>
        <v>3</v>
      </c>
      <c r="L200" t="str">
        <f ca="1">VLOOKUP('Master Sheet'!I200,'Code Options'!$A$1:$R$7,7)</f>
        <v>Production</v>
      </c>
      <c r="M200">
        <f t="shared" ca="1" si="39"/>
        <v>5</v>
      </c>
      <c r="N200" t="str">
        <f ca="1">VLOOKUP('Master Sheet'!K200,'Code Options'!$A$1:$R$7,8)</f>
        <v>Rec.Fish.Mngmt</v>
      </c>
      <c r="O200">
        <f t="shared" ca="1" si="40"/>
        <v>5</v>
      </c>
      <c r="P200" t="str">
        <f ca="1">VLOOKUP('Master Sheet'!E200,'Code Options'!$A$1:$R$7,9)</f>
        <v>Guide</v>
      </c>
      <c r="Q200" cm="1">
        <f t="array" aca="1" ref="Q200" ca="1">_xlfn.IFS(P200 ="State_Plan", RANDBETWEEN(1,23), P200 ="State_Code", RANDBETWEEN(1,23), P200 = "Fed_Code", 99, P200 = "Summ_Article", 999, P200 = "Guide", 999)</f>
        <v>999</v>
      </c>
      <c r="R200" t="str">
        <f ca="1">VLOOKUP(Q200,'States and Locations'!$A$1:$B$26,2)</f>
        <v>UNK</v>
      </c>
      <c r="S200">
        <f ca="1">VLOOKUP(Q200,'States and Locations'!$A$1:$D$26,3)</f>
        <v>25</v>
      </c>
      <c r="T200">
        <f ca="1">VLOOKUP(Q200,'States and Locations'!$A$1:$D$26,4)</f>
        <v>-90</v>
      </c>
      <c r="U200">
        <f t="shared" ca="1" si="41"/>
        <v>3</v>
      </c>
      <c r="V200" t="str">
        <f ca="1">VLOOKUP('Master Sheet'!E200,'Code Options'!$A$1:$R$7,10)</f>
        <v>Wave_attenuation</v>
      </c>
      <c r="W200">
        <f t="shared" ca="1" si="42"/>
        <v>1</v>
      </c>
      <c r="X200" t="str">
        <f ca="1">VLOOKUP('Master Sheet'!E200,'Code Options'!$A$1:$R$7,11)</f>
        <v>Scuba</v>
      </c>
      <c r="Y200">
        <f t="shared" ca="1" si="43"/>
        <v>3</v>
      </c>
      <c r="Z200" t="str">
        <f ca="1">VLOOKUP('Master Sheet'!E200,'Code Options'!$A$1:$R$7,12)</f>
        <v>anglers</v>
      </c>
    </row>
    <row r="201" spans="1:26" x14ac:dyDescent="0.2">
      <c r="A201">
        <f t="shared" ca="1" si="33"/>
        <v>1</v>
      </c>
      <c r="B201" t="str">
        <f ca="1">VLOOKUP('Master Sheet'!A201,'Code Options'!$A$1:$B$7,2)</f>
        <v>Composite</v>
      </c>
      <c r="C201">
        <f t="shared" ca="1" si="34"/>
        <v>1</v>
      </c>
      <c r="D201" t="str">
        <f ca="1">VLOOKUP('Master Sheet'!C201,'Code Options'!$A$1:$R$7,3)</f>
        <v>Retro</v>
      </c>
      <c r="E201">
        <f t="shared" ca="1" si="35"/>
        <v>4</v>
      </c>
      <c r="F201" t="str">
        <f ca="1">VLOOKUP('Master Sheet'!E201,'Code Options'!$A$1:$R$7,4)</f>
        <v>LM</v>
      </c>
      <c r="G201">
        <f t="shared" ca="1" si="36"/>
        <v>2</v>
      </c>
      <c r="H201">
        <f ca="1">VLOOKUP('Master Sheet'!E201,'Code Options'!$A$1:$R$7,5)</f>
        <v>0</v>
      </c>
      <c r="I201">
        <f t="shared" ca="1" si="37"/>
        <v>1</v>
      </c>
      <c r="J201" t="str">
        <f ca="1">VLOOKUP('Master Sheet'!G201,'Code Options'!$A$1:$R$7,6)</f>
        <v>State</v>
      </c>
      <c r="K201">
        <f t="shared" ca="1" si="38"/>
        <v>3</v>
      </c>
      <c r="L201" t="str">
        <f ca="1">VLOOKUP('Master Sheet'!I201,'Code Options'!$A$1:$R$7,7)</f>
        <v>Habitat</v>
      </c>
      <c r="M201">
        <f t="shared" ca="1" si="39"/>
        <v>2</v>
      </c>
      <c r="N201" t="str">
        <f ca="1">VLOOKUP('Master Sheet'!K201,'Code Options'!$A$1:$R$7,8)</f>
        <v>Rec.Fish.Mngmt</v>
      </c>
      <c r="O201">
        <f t="shared" ca="1" si="40"/>
        <v>5</v>
      </c>
      <c r="P201" t="str">
        <f ca="1">VLOOKUP('Master Sheet'!E201,'Code Options'!$A$1:$R$7,9)</f>
        <v>Summ_Article</v>
      </c>
      <c r="Q201" cm="1">
        <f t="array" aca="1" ref="Q201" ca="1">_xlfn.IFS(P201 ="State_Plan", RANDBETWEEN(1,23), P201 ="State_Code", RANDBETWEEN(1,23), P201 = "Fed_Code", 99, P201 = "Summ_Article", 999, P201 = "Guide", 999)</f>
        <v>999</v>
      </c>
      <c r="R201" t="str">
        <f ca="1">VLOOKUP(Q201,'States and Locations'!$A$1:$B$26,2)</f>
        <v>UNK</v>
      </c>
      <c r="S201">
        <f ca="1">VLOOKUP(Q201,'States and Locations'!$A$1:$D$26,3)</f>
        <v>25</v>
      </c>
      <c r="T201">
        <f ca="1">VLOOKUP(Q201,'States and Locations'!$A$1:$D$26,4)</f>
        <v>-90</v>
      </c>
      <c r="U201">
        <f t="shared" ca="1" si="41"/>
        <v>1</v>
      </c>
      <c r="V201" t="str">
        <f ca="1">VLOOKUP('Master Sheet'!E201,'Code Options'!$A$1:$R$7,10)</f>
        <v>Hab_restoration</v>
      </c>
      <c r="W201">
        <f t="shared" ca="1" si="42"/>
        <v>4</v>
      </c>
      <c r="X201" t="str">
        <f ca="1">VLOOKUP('Master Sheet'!E201,'Code Options'!$A$1:$R$7,11)</f>
        <v>Non-Fish_rec</v>
      </c>
      <c r="Y201">
        <f t="shared" ca="1" si="43"/>
        <v>4</v>
      </c>
      <c r="Z201" t="str">
        <f ca="1">VLOOKUP('Master Sheet'!E201,'Code Options'!$A$1:$R$7,12)</f>
        <v>people_interested</v>
      </c>
    </row>
    <row r="202" spans="1:26" x14ac:dyDescent="0.2">
      <c r="A202">
        <f t="shared" ca="1" si="33"/>
        <v>2</v>
      </c>
      <c r="B202" t="str">
        <f ca="1">VLOOKUP('Master Sheet'!A202,'Code Options'!$A$1:$B$7,2)</f>
        <v>Concrete</v>
      </c>
      <c r="C202">
        <f t="shared" ca="1" si="34"/>
        <v>2</v>
      </c>
      <c r="D202" t="str">
        <f ca="1">VLOOKUP('Master Sheet'!C202,'Code Options'!$A$1:$R$7,3)</f>
        <v>Pro</v>
      </c>
      <c r="E202">
        <f t="shared" ca="1" si="35"/>
        <v>3</v>
      </c>
      <c r="F202" t="str">
        <f ca="1">VLOOKUP('Master Sheet'!E202,'Code Options'!$A$1:$R$7,4)</f>
        <v>Jon</v>
      </c>
      <c r="G202">
        <f t="shared" ca="1" si="36"/>
        <v>2</v>
      </c>
      <c r="H202" t="str">
        <f ca="1">VLOOKUP('Master Sheet'!E202,'Code Options'!$A$1:$R$7,5)</f>
        <v>Nick</v>
      </c>
      <c r="I202">
        <f t="shared" ca="1" si="37"/>
        <v>3</v>
      </c>
      <c r="J202" t="str">
        <f ca="1">VLOOKUP('Master Sheet'!G202,'Code Options'!$A$1:$R$7,6)</f>
        <v>State</v>
      </c>
      <c r="K202">
        <f t="shared" ca="1" si="38"/>
        <v>4</v>
      </c>
      <c r="L202" t="str">
        <f ca="1">VLOOKUP('Master Sheet'!I202,'Code Options'!$A$1:$R$7,7)</f>
        <v>Aggregation</v>
      </c>
      <c r="M202">
        <f t="shared" ca="1" si="39"/>
        <v>3</v>
      </c>
      <c r="N202" t="str">
        <f ca="1">VLOOKUP('Master Sheet'!K202,'Code Options'!$A$1:$R$7,8)</f>
        <v>Creation of AR Mat</v>
      </c>
      <c r="O202">
        <f t="shared" ca="1" si="40"/>
        <v>5</v>
      </c>
      <c r="P202" t="str">
        <f ca="1">VLOOKUP('Master Sheet'!E202,'Code Options'!$A$1:$R$7,9)</f>
        <v>State_Plan</v>
      </c>
      <c r="Q202" cm="1">
        <f t="array" aca="1" ref="Q202" ca="1">_xlfn.IFS(P202 ="State_Plan", RANDBETWEEN(1,23), P202 ="State_Code", RANDBETWEEN(1,23), P202 = "Fed_Code", 99, P202 = "Summ_Article", 999, P202 = "Guide", 999)</f>
        <v>19</v>
      </c>
      <c r="R202" t="str">
        <f ca="1">VLOOKUP(Q202,'States and Locations'!$A$1:$B$26,2)</f>
        <v>California</v>
      </c>
      <c r="S202">
        <f ca="1">VLOOKUP(Q202,'States and Locations'!$A$1:$D$26,3)</f>
        <v>36.966700000000003</v>
      </c>
      <c r="T202">
        <f ca="1">VLOOKUP(Q202,'States and Locations'!$A$1:$D$26,4)</f>
        <v>-120.08329999999999</v>
      </c>
      <c r="U202">
        <f t="shared" ca="1" si="41"/>
        <v>5</v>
      </c>
      <c r="V202" t="str">
        <f ca="1">VLOOKUP('Master Sheet'!E202,'Code Options'!$A$1:$R$7,10)</f>
        <v>Mitig.</v>
      </c>
      <c r="W202">
        <f t="shared" ca="1" si="42"/>
        <v>5</v>
      </c>
      <c r="X202" t="str">
        <f ca="1">VLOOKUP('Master Sheet'!E202,'Code Options'!$A$1:$R$7,11)</f>
        <v>Chart_Fish</v>
      </c>
      <c r="Y202">
        <f t="shared" ca="1" si="43"/>
        <v>4</v>
      </c>
      <c r="Z202" t="str">
        <f ca="1">VLOOKUP('Master Sheet'!E202,'Code Options'!$A$1:$R$7,12)</f>
        <v>Permit_reg_agencies</v>
      </c>
    </row>
    <row r="203" spans="1:26" x14ac:dyDescent="0.2">
      <c r="A203">
        <f t="shared" ca="1" si="33"/>
        <v>4</v>
      </c>
      <c r="B203" t="str">
        <f ca="1">VLOOKUP('Master Sheet'!A203,'Code Options'!$A$1:$B$7,2)</f>
        <v>Other</v>
      </c>
      <c r="C203">
        <f t="shared" ca="1" si="34"/>
        <v>2</v>
      </c>
      <c r="D203" t="str">
        <f ca="1">VLOOKUP('Master Sheet'!C203,'Code Options'!$A$1:$R$7,3)</f>
        <v>Pro</v>
      </c>
      <c r="E203">
        <f t="shared" ca="1" si="35"/>
        <v>4</v>
      </c>
      <c r="F203" t="str">
        <f ca="1">VLOOKUP('Master Sheet'!E203,'Code Options'!$A$1:$R$7,4)</f>
        <v>LM</v>
      </c>
      <c r="G203">
        <f t="shared" ca="1" si="36"/>
        <v>3</v>
      </c>
      <c r="H203">
        <f ca="1">VLOOKUP('Master Sheet'!E203,'Code Options'!$A$1:$R$7,5)</f>
        <v>0</v>
      </c>
      <c r="I203">
        <f t="shared" ca="1" si="37"/>
        <v>1</v>
      </c>
      <c r="J203" t="str">
        <f ca="1">VLOOKUP('Master Sheet'!G203,'Code Options'!$A$1:$R$7,6)</f>
        <v>Regional</v>
      </c>
      <c r="K203">
        <f t="shared" ca="1" si="38"/>
        <v>3</v>
      </c>
      <c r="L203" t="str">
        <f ca="1">VLOOKUP('Master Sheet'!I203,'Code Options'!$A$1:$R$7,7)</f>
        <v>Habitat</v>
      </c>
      <c r="M203">
        <f t="shared" ca="1" si="39"/>
        <v>2</v>
      </c>
      <c r="N203" t="str">
        <f ca="1">VLOOKUP('Master Sheet'!K203,'Code Options'!$A$1:$R$7,8)</f>
        <v>Rec.Fish.Mngmt</v>
      </c>
      <c r="O203">
        <f t="shared" ca="1" si="40"/>
        <v>3</v>
      </c>
      <c r="P203" t="str">
        <f ca="1">VLOOKUP('Master Sheet'!E203,'Code Options'!$A$1:$R$7,9)</f>
        <v>Summ_Article</v>
      </c>
      <c r="Q203" cm="1">
        <f t="array" aca="1" ref="Q203" ca="1">_xlfn.IFS(P203 ="State_Plan", RANDBETWEEN(1,23), P203 ="State_Code", RANDBETWEEN(1,23), P203 = "Fed_Code", 99, P203 = "Summ_Article", 999, P203 = "Guide", 999)</f>
        <v>999</v>
      </c>
      <c r="R203" t="str">
        <f ca="1">VLOOKUP(Q203,'States and Locations'!$A$1:$B$26,2)</f>
        <v>UNK</v>
      </c>
      <c r="S203">
        <f ca="1">VLOOKUP(Q203,'States and Locations'!$A$1:$D$26,3)</f>
        <v>25</v>
      </c>
      <c r="T203">
        <f ca="1">VLOOKUP(Q203,'States and Locations'!$A$1:$D$26,4)</f>
        <v>-90</v>
      </c>
      <c r="U203">
        <f t="shared" ca="1" si="41"/>
        <v>1</v>
      </c>
      <c r="V203" t="str">
        <f ca="1">VLOOKUP('Master Sheet'!E203,'Code Options'!$A$1:$R$7,10)</f>
        <v>Hab_restoration</v>
      </c>
      <c r="W203">
        <f t="shared" ca="1" si="42"/>
        <v>5</v>
      </c>
      <c r="X203" t="str">
        <f ca="1">VLOOKUP('Master Sheet'!E203,'Code Options'!$A$1:$R$7,11)</f>
        <v>Non-Fish_rec</v>
      </c>
      <c r="Y203">
        <f t="shared" ca="1" si="43"/>
        <v>5</v>
      </c>
      <c r="Z203" t="str">
        <f ca="1">VLOOKUP('Master Sheet'!E203,'Code Options'!$A$1:$R$7,12)</f>
        <v>people_interested</v>
      </c>
    </row>
    <row r="204" spans="1:26" x14ac:dyDescent="0.2">
      <c r="A204">
        <f t="shared" ca="1" si="33"/>
        <v>6</v>
      </c>
      <c r="B204" t="str">
        <f ca="1">VLOOKUP('Master Sheet'!A204,'Code Options'!$A$1:$B$7,2)</f>
        <v>Tires/Rubber</v>
      </c>
      <c r="C204">
        <f t="shared" ca="1" si="34"/>
        <v>1</v>
      </c>
      <c r="D204" t="str">
        <f ca="1">VLOOKUP('Master Sheet'!C204,'Code Options'!$A$1:$R$7,3)</f>
        <v>Retro</v>
      </c>
      <c r="E204">
        <f t="shared" ca="1" si="35"/>
        <v>5</v>
      </c>
      <c r="F204" t="str">
        <f ca="1">VLOOKUP('Master Sheet'!E204,'Code Options'!$A$1:$R$7,4)</f>
        <v>Nick</v>
      </c>
      <c r="G204">
        <f t="shared" ca="1" si="36"/>
        <v>1</v>
      </c>
      <c r="H204">
        <f ca="1">VLOOKUP('Master Sheet'!E204,'Code Options'!$A$1:$R$7,5)</f>
        <v>0</v>
      </c>
      <c r="I204">
        <f t="shared" ca="1" si="37"/>
        <v>1</v>
      </c>
      <c r="J204" t="str">
        <f ca="1">VLOOKUP('Master Sheet'!G204,'Code Options'!$A$1:$R$7,6)</f>
        <v>County/Local</v>
      </c>
      <c r="K204">
        <f t="shared" ca="1" si="38"/>
        <v>1</v>
      </c>
      <c r="L204" t="str">
        <f ca="1">VLOOKUP('Master Sheet'!I204,'Code Options'!$A$1:$R$7,7)</f>
        <v>Habitat</v>
      </c>
      <c r="M204">
        <f t="shared" ca="1" si="39"/>
        <v>1</v>
      </c>
      <c r="N204" t="str">
        <f ca="1">VLOOKUP('Master Sheet'!K204,'Code Options'!$A$1:$R$7,8)</f>
        <v>Fish.Enhancement</v>
      </c>
      <c r="O204">
        <f t="shared" ca="1" si="40"/>
        <v>4</v>
      </c>
      <c r="P204" t="str">
        <f ca="1">VLOOKUP('Master Sheet'!E204,'Code Options'!$A$1:$R$7,9)</f>
        <v>Guide</v>
      </c>
      <c r="Q204" cm="1">
        <f t="array" aca="1" ref="Q204" ca="1">_xlfn.IFS(P204 ="State_Plan", RANDBETWEEN(1,23), P204 ="State_Code", RANDBETWEEN(1,23), P204 = "Fed_Code", 99, P204 = "Summ_Article", 999, P204 = "Guide", 999)</f>
        <v>999</v>
      </c>
      <c r="R204" t="str">
        <f ca="1">VLOOKUP(Q204,'States and Locations'!$A$1:$B$26,2)</f>
        <v>UNK</v>
      </c>
      <c r="S204">
        <f ca="1">VLOOKUP(Q204,'States and Locations'!$A$1:$D$26,3)</f>
        <v>25</v>
      </c>
      <c r="T204">
        <f ca="1">VLOOKUP(Q204,'States and Locations'!$A$1:$D$26,4)</f>
        <v>-90</v>
      </c>
      <c r="U204">
        <f t="shared" ca="1" si="41"/>
        <v>4</v>
      </c>
      <c r="V204" t="str">
        <f ca="1">VLOOKUP('Master Sheet'!E204,'Code Options'!$A$1:$R$7,10)</f>
        <v>Wave_attenuation</v>
      </c>
      <c r="W204">
        <f t="shared" ca="1" si="42"/>
        <v>4</v>
      </c>
      <c r="X204" t="str">
        <f ca="1">VLOOKUP('Master Sheet'!E204,'Code Options'!$A$1:$R$7,11)</f>
        <v>Scuba</v>
      </c>
      <c r="Y204">
        <f t="shared" ca="1" si="43"/>
        <v>5</v>
      </c>
      <c r="Z204" t="str">
        <f ca="1">VLOOKUP('Master Sheet'!E204,'Code Options'!$A$1:$R$7,12)</f>
        <v>anglers</v>
      </c>
    </row>
    <row r="205" spans="1:26" x14ac:dyDescent="0.2">
      <c r="A205">
        <f t="shared" ca="1" si="33"/>
        <v>4</v>
      </c>
      <c r="B205" t="str">
        <f ca="1">VLOOKUP('Master Sheet'!A205,'Code Options'!$A$1:$B$7,2)</f>
        <v>Other</v>
      </c>
      <c r="C205">
        <f t="shared" ca="1" si="34"/>
        <v>3</v>
      </c>
      <c r="D205" t="str">
        <f ca="1">VLOOKUP('Master Sheet'!C205,'Code Options'!$A$1:$R$7,3)</f>
        <v>Unsure</v>
      </c>
      <c r="E205">
        <f t="shared" ca="1" si="35"/>
        <v>3</v>
      </c>
      <c r="F205" t="str">
        <f ca="1">VLOOKUP('Master Sheet'!E205,'Code Options'!$A$1:$R$7,4)</f>
        <v>Jon</v>
      </c>
      <c r="G205">
        <f t="shared" ca="1" si="36"/>
        <v>1</v>
      </c>
      <c r="H205" t="str">
        <f ca="1">VLOOKUP('Master Sheet'!E205,'Code Options'!$A$1:$R$7,5)</f>
        <v>Nick</v>
      </c>
      <c r="I205">
        <f t="shared" ca="1" si="37"/>
        <v>4</v>
      </c>
      <c r="J205" t="str">
        <f ca="1">VLOOKUP('Master Sheet'!G205,'Code Options'!$A$1:$R$7,6)</f>
        <v>County/Local</v>
      </c>
      <c r="K205">
        <f t="shared" ca="1" si="38"/>
        <v>2</v>
      </c>
      <c r="L205" t="str">
        <f ca="1">VLOOKUP('Master Sheet'!I205,'Code Options'!$A$1:$R$7,7)</f>
        <v>Biodiversity</v>
      </c>
      <c r="M205">
        <f t="shared" ca="1" si="39"/>
        <v>1</v>
      </c>
      <c r="N205" t="str">
        <f ca="1">VLOOKUP('Master Sheet'!K205,'Code Options'!$A$1:$R$7,8)</f>
        <v>Comm.Fish.Mngmt</v>
      </c>
      <c r="O205">
        <f t="shared" ca="1" si="40"/>
        <v>3</v>
      </c>
      <c r="P205" t="str">
        <f ca="1">VLOOKUP('Master Sheet'!E205,'Code Options'!$A$1:$R$7,9)</f>
        <v>State_Plan</v>
      </c>
      <c r="Q205" cm="1">
        <f t="array" aca="1" ref="Q205" ca="1">_xlfn.IFS(P205 ="State_Plan", RANDBETWEEN(1,23), P205 ="State_Code", RANDBETWEEN(1,23), P205 = "Fed_Code", 99, P205 = "Summ_Article", 999, P205 = "Guide", 999)</f>
        <v>16</v>
      </c>
      <c r="R205" t="str">
        <f ca="1">VLOOKUP(Q205,'States and Locations'!$A$1:$B$26,2)</f>
        <v>Louisiana</v>
      </c>
      <c r="S205">
        <f ca="1">VLOOKUP(Q205,'States and Locations'!$A$1:$D$26,3)</f>
        <v>30.4</v>
      </c>
      <c r="T205">
        <f ca="1">VLOOKUP(Q205,'States and Locations'!$A$1:$D$26,4)</f>
        <v>-92.333299999999994</v>
      </c>
      <c r="U205">
        <f t="shared" ca="1" si="41"/>
        <v>2</v>
      </c>
      <c r="V205" t="str">
        <f ca="1">VLOOKUP('Master Sheet'!E205,'Code Options'!$A$1:$R$7,10)</f>
        <v>Mitig.</v>
      </c>
      <c r="W205">
        <f t="shared" ca="1" si="42"/>
        <v>2</v>
      </c>
      <c r="X205" t="str">
        <f ca="1">VLOOKUP('Master Sheet'!E205,'Code Options'!$A$1:$R$7,11)</f>
        <v>Chart_Fish</v>
      </c>
      <c r="Y205">
        <f t="shared" ca="1" si="43"/>
        <v>5</v>
      </c>
      <c r="Z205" t="str">
        <f ca="1">VLOOKUP('Master Sheet'!E205,'Code Options'!$A$1:$R$7,12)</f>
        <v>Permit_reg_agencies</v>
      </c>
    </row>
    <row r="206" spans="1:26" x14ac:dyDescent="0.2">
      <c r="A206">
        <f t="shared" ca="1" si="33"/>
        <v>1</v>
      </c>
      <c r="B206" t="str">
        <f ca="1">VLOOKUP('Master Sheet'!A206,'Code Options'!$A$1:$B$7,2)</f>
        <v>Composite</v>
      </c>
      <c r="C206">
        <f t="shared" ca="1" si="34"/>
        <v>2</v>
      </c>
      <c r="D206" t="str">
        <f ca="1">VLOOKUP('Master Sheet'!C206,'Code Options'!$A$1:$R$7,3)</f>
        <v>Pro</v>
      </c>
      <c r="E206">
        <f t="shared" ca="1" si="35"/>
        <v>5</v>
      </c>
      <c r="F206" t="str">
        <f ca="1">VLOOKUP('Master Sheet'!E206,'Code Options'!$A$1:$R$7,4)</f>
        <v>Nick</v>
      </c>
      <c r="G206">
        <f t="shared" ca="1" si="36"/>
        <v>2</v>
      </c>
      <c r="H206">
        <f ca="1">VLOOKUP('Master Sheet'!E206,'Code Options'!$A$1:$R$7,5)</f>
        <v>0</v>
      </c>
      <c r="I206">
        <f t="shared" ca="1" si="37"/>
        <v>3</v>
      </c>
      <c r="J206" t="str">
        <f ca="1">VLOOKUP('Master Sheet'!G206,'Code Options'!$A$1:$R$7,6)</f>
        <v>State</v>
      </c>
      <c r="K206">
        <f t="shared" ca="1" si="38"/>
        <v>1</v>
      </c>
      <c r="L206" t="str">
        <f ca="1">VLOOKUP('Master Sheet'!I206,'Code Options'!$A$1:$R$7,7)</f>
        <v>Aggregation</v>
      </c>
      <c r="M206">
        <f t="shared" ca="1" si="39"/>
        <v>3</v>
      </c>
      <c r="N206" t="str">
        <f ca="1">VLOOKUP('Master Sheet'!K206,'Code Options'!$A$1:$R$7,8)</f>
        <v>Fish.Enhancement</v>
      </c>
      <c r="O206">
        <f t="shared" ca="1" si="40"/>
        <v>3</v>
      </c>
      <c r="P206" t="str">
        <f ca="1">VLOOKUP('Master Sheet'!E206,'Code Options'!$A$1:$R$7,9)</f>
        <v>Guide</v>
      </c>
      <c r="Q206" cm="1">
        <f t="array" aca="1" ref="Q206" ca="1">_xlfn.IFS(P206 ="State_Plan", RANDBETWEEN(1,23), P206 ="State_Code", RANDBETWEEN(1,23), P206 = "Fed_Code", 99, P206 = "Summ_Article", 999, P206 = "Guide", 999)</f>
        <v>999</v>
      </c>
      <c r="R206" t="str">
        <f ca="1">VLOOKUP(Q206,'States and Locations'!$A$1:$B$26,2)</f>
        <v>UNK</v>
      </c>
      <c r="S206">
        <f ca="1">VLOOKUP(Q206,'States and Locations'!$A$1:$D$26,3)</f>
        <v>25</v>
      </c>
      <c r="T206">
        <f ca="1">VLOOKUP(Q206,'States and Locations'!$A$1:$D$26,4)</f>
        <v>-90</v>
      </c>
      <c r="U206">
        <f t="shared" ca="1" si="41"/>
        <v>2</v>
      </c>
      <c r="V206" t="str">
        <f ca="1">VLOOKUP('Master Sheet'!E206,'Code Options'!$A$1:$R$7,10)</f>
        <v>Wave_attenuation</v>
      </c>
      <c r="W206">
        <f t="shared" ca="1" si="42"/>
        <v>4</v>
      </c>
      <c r="X206" t="str">
        <f ca="1">VLOOKUP('Master Sheet'!E206,'Code Options'!$A$1:$R$7,11)</f>
        <v>Scuba</v>
      </c>
      <c r="Y206">
        <f t="shared" ca="1" si="43"/>
        <v>3</v>
      </c>
      <c r="Z206" t="str">
        <f ca="1">VLOOKUP('Master Sheet'!E206,'Code Options'!$A$1:$R$7,12)</f>
        <v>anglers</v>
      </c>
    </row>
    <row r="207" spans="1:26" x14ac:dyDescent="0.2">
      <c r="A207">
        <f t="shared" ca="1" si="33"/>
        <v>3</v>
      </c>
      <c r="B207" t="str">
        <f ca="1">VLOOKUP('Master Sheet'!A207,'Code Options'!$A$1:$B$7,2)</f>
        <v>Metal</v>
      </c>
      <c r="C207">
        <f t="shared" ca="1" si="34"/>
        <v>1</v>
      </c>
      <c r="D207" t="str">
        <f ca="1">VLOOKUP('Master Sheet'!C207,'Code Options'!$A$1:$R$7,3)</f>
        <v>Retro</v>
      </c>
      <c r="E207">
        <f t="shared" ca="1" si="35"/>
        <v>3</v>
      </c>
      <c r="F207" t="str">
        <f ca="1">VLOOKUP('Master Sheet'!E207,'Code Options'!$A$1:$R$7,4)</f>
        <v>Jon</v>
      </c>
      <c r="G207">
        <f t="shared" ca="1" si="36"/>
        <v>3</v>
      </c>
      <c r="H207" t="str">
        <f ca="1">VLOOKUP('Master Sheet'!E207,'Code Options'!$A$1:$R$7,5)</f>
        <v>Nick</v>
      </c>
      <c r="I207">
        <f t="shared" ca="1" si="37"/>
        <v>1</v>
      </c>
      <c r="J207" t="str">
        <f ca="1">VLOOKUP('Master Sheet'!G207,'Code Options'!$A$1:$R$7,6)</f>
        <v>Regional</v>
      </c>
      <c r="K207">
        <f t="shared" ca="1" si="38"/>
        <v>3</v>
      </c>
      <c r="L207" t="str">
        <f ca="1">VLOOKUP('Master Sheet'!I207,'Code Options'!$A$1:$R$7,7)</f>
        <v>Habitat</v>
      </c>
      <c r="M207">
        <f t="shared" ca="1" si="39"/>
        <v>4</v>
      </c>
      <c r="N207" t="str">
        <f ca="1">VLOOKUP('Master Sheet'!K207,'Code Options'!$A$1:$R$7,8)</f>
        <v>Rec.Fish.Mngmt</v>
      </c>
      <c r="O207">
        <f t="shared" ca="1" si="40"/>
        <v>4</v>
      </c>
      <c r="P207" t="str">
        <f ca="1">VLOOKUP('Master Sheet'!E207,'Code Options'!$A$1:$R$7,9)</f>
        <v>State_Plan</v>
      </c>
      <c r="Q207" cm="1">
        <f t="array" aca="1" ref="Q207" ca="1">_xlfn.IFS(P207 ="State_Plan", RANDBETWEEN(1,23), P207 ="State_Code", RANDBETWEEN(1,23), P207 = "Fed_Code", 99, P207 = "Summ_Article", 999, P207 = "Guide", 999)</f>
        <v>18</v>
      </c>
      <c r="R207" t="str">
        <f ca="1">VLOOKUP(Q207,'States and Locations'!$A$1:$B$26,2)</f>
        <v>Alabama</v>
      </c>
      <c r="S207">
        <f ca="1">VLOOKUP(Q207,'States and Locations'!$A$1:$D$26,3)</f>
        <v>32.833300000000001</v>
      </c>
      <c r="T207">
        <f ca="1">VLOOKUP(Q207,'States and Locations'!$A$1:$D$26,4)</f>
        <v>-86.633300000000006</v>
      </c>
      <c r="U207">
        <f t="shared" ca="1" si="41"/>
        <v>5</v>
      </c>
      <c r="V207" t="str">
        <f ca="1">VLOOKUP('Master Sheet'!E207,'Code Options'!$A$1:$R$7,10)</f>
        <v>Mitig.</v>
      </c>
      <c r="W207">
        <f t="shared" ca="1" si="42"/>
        <v>2</v>
      </c>
      <c r="X207" t="str">
        <f ca="1">VLOOKUP('Master Sheet'!E207,'Code Options'!$A$1:$R$7,11)</f>
        <v>Chart_Fish</v>
      </c>
      <c r="Y207">
        <f t="shared" ca="1" si="43"/>
        <v>4</v>
      </c>
      <c r="Z207" t="str">
        <f ca="1">VLOOKUP('Master Sheet'!E207,'Code Options'!$A$1:$R$7,12)</f>
        <v>Permit_reg_agencies</v>
      </c>
    </row>
    <row r="208" spans="1:26" x14ac:dyDescent="0.2">
      <c r="A208">
        <f t="shared" ca="1" si="33"/>
        <v>2</v>
      </c>
      <c r="B208" t="str">
        <f ca="1">VLOOKUP('Master Sheet'!A208,'Code Options'!$A$1:$B$7,2)</f>
        <v>Concrete</v>
      </c>
      <c r="C208">
        <f t="shared" ca="1" si="34"/>
        <v>2</v>
      </c>
      <c r="D208" t="str">
        <f ca="1">VLOOKUP('Master Sheet'!C208,'Code Options'!$A$1:$R$7,3)</f>
        <v>Pro</v>
      </c>
      <c r="E208">
        <f t="shared" ca="1" si="35"/>
        <v>1</v>
      </c>
      <c r="F208" t="str">
        <f ca="1">VLOOKUP('Master Sheet'!E208,'Code Options'!$A$1:$R$7,4)</f>
        <v>Will</v>
      </c>
      <c r="G208">
        <f t="shared" ca="1" si="36"/>
        <v>1</v>
      </c>
      <c r="H208" t="str">
        <f ca="1">VLOOKUP('Master Sheet'!E208,'Code Options'!$A$1:$R$7,5)</f>
        <v>Will</v>
      </c>
      <c r="I208">
        <f t="shared" ca="1" si="37"/>
        <v>1</v>
      </c>
      <c r="J208" t="str">
        <f ca="1">VLOOKUP('Master Sheet'!G208,'Code Options'!$A$1:$R$7,6)</f>
        <v>County/Local</v>
      </c>
      <c r="K208">
        <f t="shared" ca="1" si="38"/>
        <v>2</v>
      </c>
      <c r="L208" t="str">
        <f ca="1">VLOOKUP('Master Sheet'!I208,'Code Options'!$A$1:$R$7,7)</f>
        <v>Habitat</v>
      </c>
      <c r="M208">
        <f t="shared" ca="1" si="39"/>
        <v>3</v>
      </c>
      <c r="N208" t="str">
        <f ca="1">VLOOKUP('Master Sheet'!K208,'Code Options'!$A$1:$R$7,8)</f>
        <v>Comm.Fish.Mngmt</v>
      </c>
      <c r="O208">
        <f t="shared" ca="1" si="40"/>
        <v>2</v>
      </c>
      <c r="P208" t="str">
        <f ca="1">VLOOKUP('Master Sheet'!E208,'Code Options'!$A$1:$R$7,9)</f>
        <v>State_Code</v>
      </c>
      <c r="Q208" cm="1">
        <f t="array" aca="1" ref="Q208" ca="1">_xlfn.IFS(P208 ="State_Plan", RANDBETWEEN(1,23), P208 ="State_Code", RANDBETWEEN(1,23), P208 = "Fed_Code", 99, P208 = "Summ_Article", 999, P208 = "Guide", 999)</f>
        <v>5</v>
      </c>
      <c r="R208" t="str">
        <f ca="1">VLOOKUP(Q208,'States and Locations'!$A$1:$B$26,2)</f>
        <v>Connecticut</v>
      </c>
      <c r="S208">
        <f ca="1">VLOOKUP(Q208,'States and Locations'!$A$1:$D$26,3)</f>
        <v>41.6</v>
      </c>
      <c r="T208">
        <f ca="1">VLOOKUP(Q208,'States and Locations'!$A$1:$D$26,4)</f>
        <v>-72.7</v>
      </c>
      <c r="U208">
        <f t="shared" ca="1" si="41"/>
        <v>4</v>
      </c>
      <c r="V208" t="str">
        <f ca="1">VLOOKUP('Master Sheet'!E208,'Code Options'!$A$1:$R$7,10)</f>
        <v>Hab_enhancement</v>
      </c>
      <c r="W208">
        <f t="shared" ca="1" si="42"/>
        <v>1</v>
      </c>
      <c r="X208" t="str">
        <f ca="1">VLOOKUP('Master Sheet'!E208,'Code Options'!$A$1:$R$7,11)</f>
        <v>Rec_Fish</v>
      </c>
      <c r="Y208">
        <f t="shared" ca="1" si="43"/>
        <v>1</v>
      </c>
      <c r="Z208" t="str">
        <f ca="1">VLOOKUP('Master Sheet'!E208,'Code Options'!$A$1:$R$7,12)</f>
        <v>AR_proj_plan_mngrs</v>
      </c>
    </row>
    <row r="209" spans="1:26" x14ac:dyDescent="0.2">
      <c r="A209">
        <f t="shared" ca="1" si="33"/>
        <v>1</v>
      </c>
      <c r="B209" t="str">
        <f ca="1">VLOOKUP('Master Sheet'!A209,'Code Options'!$A$1:$B$7,2)</f>
        <v>Composite</v>
      </c>
      <c r="C209">
        <f t="shared" ca="1" si="34"/>
        <v>2</v>
      </c>
      <c r="D209" t="str">
        <f ca="1">VLOOKUP('Master Sheet'!C209,'Code Options'!$A$1:$R$7,3)</f>
        <v>Pro</v>
      </c>
      <c r="E209">
        <f t="shared" ca="1" si="35"/>
        <v>1</v>
      </c>
      <c r="F209" t="str">
        <f ca="1">VLOOKUP('Master Sheet'!E209,'Code Options'!$A$1:$R$7,4)</f>
        <v>Will</v>
      </c>
      <c r="G209">
        <f t="shared" ca="1" si="36"/>
        <v>2</v>
      </c>
      <c r="H209" t="str">
        <f ca="1">VLOOKUP('Master Sheet'!E209,'Code Options'!$A$1:$R$7,5)</f>
        <v>Will</v>
      </c>
      <c r="I209">
        <f t="shared" ca="1" si="37"/>
        <v>1</v>
      </c>
      <c r="J209" t="str">
        <f ca="1">VLOOKUP('Master Sheet'!G209,'Code Options'!$A$1:$R$7,6)</f>
        <v>State</v>
      </c>
      <c r="K209">
        <f t="shared" ca="1" si="38"/>
        <v>1</v>
      </c>
      <c r="L209" t="str">
        <f ca="1">VLOOKUP('Master Sheet'!I209,'Code Options'!$A$1:$R$7,7)</f>
        <v>Habitat</v>
      </c>
      <c r="M209">
        <f t="shared" ca="1" si="39"/>
        <v>2</v>
      </c>
      <c r="N209" t="str">
        <f ca="1">VLOOKUP('Master Sheet'!K209,'Code Options'!$A$1:$R$7,8)</f>
        <v>Fish.Enhancement</v>
      </c>
      <c r="O209">
        <f t="shared" ca="1" si="40"/>
        <v>5</v>
      </c>
      <c r="P209" t="str">
        <f ca="1">VLOOKUP('Master Sheet'!E209,'Code Options'!$A$1:$R$7,9)</f>
        <v>State_Code</v>
      </c>
      <c r="Q209" cm="1">
        <f t="array" aca="1" ref="Q209" ca="1">_xlfn.IFS(P209 ="State_Plan", RANDBETWEEN(1,23), P209 ="State_Code", RANDBETWEEN(1,23), P209 = "Fed_Code", 99, P209 = "Summ_Article", 999, P209 = "Guide", 999)</f>
        <v>23</v>
      </c>
      <c r="R209" t="str">
        <f ca="1">VLOOKUP(Q209,'States and Locations'!$A$1:$B$26,2)</f>
        <v>Hawaii</v>
      </c>
      <c r="S209">
        <f ca="1">VLOOKUP(Q209,'States and Locations'!$A$1:$D$26,3)</f>
        <v>20.95</v>
      </c>
      <c r="T209">
        <f ca="1">VLOOKUP(Q209,'States and Locations'!$A$1:$D$26,4)</f>
        <v>-157.2833</v>
      </c>
      <c r="U209">
        <f t="shared" ca="1" si="41"/>
        <v>1</v>
      </c>
      <c r="V209" t="str">
        <f ca="1">VLOOKUP('Master Sheet'!E209,'Code Options'!$A$1:$R$7,10)</f>
        <v>Hab_enhancement</v>
      </c>
      <c r="W209">
        <f t="shared" ca="1" si="42"/>
        <v>4</v>
      </c>
      <c r="X209" t="str">
        <f ca="1">VLOOKUP('Master Sheet'!E209,'Code Options'!$A$1:$R$7,11)</f>
        <v>Rec_Fish</v>
      </c>
      <c r="Y209">
        <f t="shared" ca="1" si="43"/>
        <v>5</v>
      </c>
      <c r="Z209" t="str">
        <f ca="1">VLOOKUP('Master Sheet'!E209,'Code Options'!$A$1:$R$7,12)</f>
        <v>AR_proj_plan_mngrs</v>
      </c>
    </row>
    <row r="210" spans="1:26" x14ac:dyDescent="0.2">
      <c r="A210">
        <f t="shared" ca="1" si="33"/>
        <v>3</v>
      </c>
      <c r="B210" t="str">
        <f ca="1">VLOOKUP('Master Sheet'!A210,'Code Options'!$A$1:$B$7,2)</f>
        <v>Metal</v>
      </c>
      <c r="C210">
        <f t="shared" ca="1" si="34"/>
        <v>2</v>
      </c>
      <c r="D210" t="str">
        <f ca="1">VLOOKUP('Master Sheet'!C210,'Code Options'!$A$1:$R$7,3)</f>
        <v>Pro</v>
      </c>
      <c r="E210">
        <f t="shared" ca="1" si="35"/>
        <v>3</v>
      </c>
      <c r="F210" t="str">
        <f ca="1">VLOOKUP('Master Sheet'!E210,'Code Options'!$A$1:$R$7,4)</f>
        <v>Jon</v>
      </c>
      <c r="G210">
        <f t="shared" ca="1" si="36"/>
        <v>1</v>
      </c>
      <c r="H210" t="str">
        <f ca="1">VLOOKUP('Master Sheet'!E210,'Code Options'!$A$1:$R$7,5)</f>
        <v>Nick</v>
      </c>
      <c r="I210">
        <f t="shared" ca="1" si="37"/>
        <v>3</v>
      </c>
      <c r="J210" t="str">
        <f ca="1">VLOOKUP('Master Sheet'!G210,'Code Options'!$A$1:$R$7,6)</f>
        <v>County/Local</v>
      </c>
      <c r="K210">
        <f t="shared" ca="1" si="38"/>
        <v>1</v>
      </c>
      <c r="L210" t="str">
        <f ca="1">VLOOKUP('Master Sheet'!I210,'Code Options'!$A$1:$R$7,7)</f>
        <v>Aggregation</v>
      </c>
      <c r="M210">
        <f t="shared" ca="1" si="39"/>
        <v>4</v>
      </c>
      <c r="N210" t="str">
        <f ca="1">VLOOKUP('Master Sheet'!K210,'Code Options'!$A$1:$R$7,8)</f>
        <v>Fish.Enhancement</v>
      </c>
      <c r="O210">
        <f t="shared" ca="1" si="40"/>
        <v>2</v>
      </c>
      <c r="P210" t="str">
        <f ca="1">VLOOKUP('Master Sheet'!E210,'Code Options'!$A$1:$R$7,9)</f>
        <v>State_Plan</v>
      </c>
      <c r="Q210" cm="1">
        <f t="array" aca="1" ref="Q210" ca="1">_xlfn.IFS(P210 ="State_Plan", RANDBETWEEN(1,23), P210 ="State_Code", RANDBETWEEN(1,23), P210 = "Fed_Code", 99, P210 = "Summ_Article", 999, P210 = "Guide", 999)</f>
        <v>1</v>
      </c>
      <c r="R210" t="str">
        <f ca="1">VLOOKUP(Q210,'States and Locations'!$A$1:$B$26,2)</f>
        <v>Maine</v>
      </c>
      <c r="S210">
        <f ca="1">VLOOKUP(Q210,'States and Locations'!$A$1:$D$26,3)</f>
        <v>45.366700000000002</v>
      </c>
      <c r="T210">
        <f ca="1">VLOOKUP(Q210,'States and Locations'!$A$1:$D$26,4)</f>
        <v>-69.2333</v>
      </c>
      <c r="U210">
        <f t="shared" ca="1" si="41"/>
        <v>5</v>
      </c>
      <c r="V210" t="str">
        <f ca="1">VLOOKUP('Master Sheet'!E210,'Code Options'!$A$1:$R$7,10)</f>
        <v>Mitig.</v>
      </c>
      <c r="W210">
        <f t="shared" ca="1" si="42"/>
        <v>5</v>
      </c>
      <c r="X210" t="str">
        <f ca="1">VLOOKUP('Master Sheet'!E210,'Code Options'!$A$1:$R$7,11)</f>
        <v>Chart_Fish</v>
      </c>
      <c r="Y210">
        <f t="shared" ca="1" si="43"/>
        <v>4</v>
      </c>
      <c r="Z210" t="str">
        <f ca="1">VLOOKUP('Master Sheet'!E210,'Code Options'!$A$1:$R$7,12)</f>
        <v>Permit_reg_agencies</v>
      </c>
    </row>
    <row r="211" spans="1:26" x14ac:dyDescent="0.2">
      <c r="A211">
        <f t="shared" ca="1" si="33"/>
        <v>2</v>
      </c>
      <c r="B211" t="str">
        <f ca="1">VLOOKUP('Master Sheet'!A211,'Code Options'!$A$1:$B$7,2)</f>
        <v>Concrete</v>
      </c>
      <c r="C211">
        <f t="shared" ca="1" si="34"/>
        <v>1</v>
      </c>
      <c r="D211" t="str">
        <f ca="1">VLOOKUP('Master Sheet'!C211,'Code Options'!$A$1:$R$7,3)</f>
        <v>Retro</v>
      </c>
      <c r="E211">
        <f t="shared" ca="1" si="35"/>
        <v>4</v>
      </c>
      <c r="F211" t="str">
        <f ca="1">VLOOKUP('Master Sheet'!E211,'Code Options'!$A$1:$R$7,4)</f>
        <v>LM</v>
      </c>
      <c r="G211">
        <f t="shared" ca="1" si="36"/>
        <v>3</v>
      </c>
      <c r="H211">
        <f ca="1">VLOOKUP('Master Sheet'!E211,'Code Options'!$A$1:$R$7,5)</f>
        <v>0</v>
      </c>
      <c r="I211">
        <f t="shared" ca="1" si="37"/>
        <v>2</v>
      </c>
      <c r="J211" t="str">
        <f ca="1">VLOOKUP('Master Sheet'!G211,'Code Options'!$A$1:$R$7,6)</f>
        <v>Regional</v>
      </c>
      <c r="K211">
        <f t="shared" ca="1" si="38"/>
        <v>2</v>
      </c>
      <c r="L211" t="str">
        <f ca="1">VLOOKUP('Master Sheet'!I211,'Code Options'!$A$1:$R$7,7)</f>
        <v>Production</v>
      </c>
      <c r="M211">
        <f t="shared" ca="1" si="39"/>
        <v>3</v>
      </c>
      <c r="N211" t="str">
        <f ca="1">VLOOKUP('Master Sheet'!K211,'Code Options'!$A$1:$R$7,8)</f>
        <v>Comm.Fish.Mngmt</v>
      </c>
      <c r="O211">
        <f t="shared" ca="1" si="40"/>
        <v>3</v>
      </c>
      <c r="P211" t="str">
        <f ca="1">VLOOKUP('Master Sheet'!E211,'Code Options'!$A$1:$R$7,9)</f>
        <v>Summ_Article</v>
      </c>
      <c r="Q211" cm="1">
        <f t="array" aca="1" ref="Q211" ca="1">_xlfn.IFS(P211 ="State_Plan", RANDBETWEEN(1,23), P211 ="State_Code", RANDBETWEEN(1,23), P211 = "Fed_Code", 99, P211 = "Summ_Article", 999, P211 = "Guide", 999)</f>
        <v>999</v>
      </c>
      <c r="R211" t="str">
        <f ca="1">VLOOKUP(Q211,'States and Locations'!$A$1:$B$26,2)</f>
        <v>UNK</v>
      </c>
      <c r="S211">
        <f ca="1">VLOOKUP(Q211,'States and Locations'!$A$1:$D$26,3)</f>
        <v>25</v>
      </c>
      <c r="T211">
        <f ca="1">VLOOKUP(Q211,'States and Locations'!$A$1:$D$26,4)</f>
        <v>-90</v>
      </c>
      <c r="U211">
        <f t="shared" ca="1" si="41"/>
        <v>5</v>
      </c>
      <c r="V211" t="str">
        <f ca="1">VLOOKUP('Master Sheet'!E211,'Code Options'!$A$1:$R$7,10)</f>
        <v>Hab_restoration</v>
      </c>
      <c r="W211">
        <f t="shared" ca="1" si="42"/>
        <v>3</v>
      </c>
      <c r="X211" t="str">
        <f ca="1">VLOOKUP('Master Sheet'!E211,'Code Options'!$A$1:$R$7,11)</f>
        <v>Non-Fish_rec</v>
      </c>
      <c r="Y211">
        <f t="shared" ca="1" si="43"/>
        <v>1</v>
      </c>
      <c r="Z211" t="str">
        <f ca="1">VLOOKUP('Master Sheet'!E211,'Code Options'!$A$1:$R$7,12)</f>
        <v>people_interested</v>
      </c>
    </row>
    <row r="212" spans="1:26" x14ac:dyDescent="0.2">
      <c r="A212">
        <f t="shared" ca="1" si="33"/>
        <v>4</v>
      </c>
      <c r="B212" t="str">
        <f ca="1">VLOOKUP('Master Sheet'!A212,'Code Options'!$A$1:$B$7,2)</f>
        <v>Other</v>
      </c>
      <c r="C212">
        <f t="shared" ca="1" si="34"/>
        <v>2</v>
      </c>
      <c r="D212" t="str">
        <f ca="1">VLOOKUP('Master Sheet'!C212,'Code Options'!$A$1:$R$7,3)</f>
        <v>Pro</v>
      </c>
      <c r="E212">
        <f t="shared" ca="1" si="35"/>
        <v>5</v>
      </c>
      <c r="F212" t="str">
        <f ca="1">VLOOKUP('Master Sheet'!E212,'Code Options'!$A$1:$R$7,4)</f>
        <v>Nick</v>
      </c>
      <c r="G212">
        <f t="shared" ca="1" si="36"/>
        <v>1</v>
      </c>
      <c r="H212">
        <f ca="1">VLOOKUP('Master Sheet'!E212,'Code Options'!$A$1:$R$7,5)</f>
        <v>0</v>
      </c>
      <c r="I212">
        <f t="shared" ca="1" si="37"/>
        <v>2</v>
      </c>
      <c r="J212" t="str">
        <f ca="1">VLOOKUP('Master Sheet'!G212,'Code Options'!$A$1:$R$7,6)</f>
        <v>County/Local</v>
      </c>
      <c r="K212">
        <f t="shared" ca="1" si="38"/>
        <v>1</v>
      </c>
      <c r="L212" t="str">
        <f ca="1">VLOOKUP('Master Sheet'!I212,'Code Options'!$A$1:$R$7,7)</f>
        <v>Production</v>
      </c>
      <c r="M212">
        <f t="shared" ca="1" si="39"/>
        <v>5</v>
      </c>
      <c r="N212" t="str">
        <f ca="1">VLOOKUP('Master Sheet'!K212,'Code Options'!$A$1:$R$7,8)</f>
        <v>Fish.Enhancement</v>
      </c>
      <c r="O212">
        <f t="shared" ca="1" si="40"/>
        <v>4</v>
      </c>
      <c r="P212" t="str">
        <f ca="1">VLOOKUP('Master Sheet'!E212,'Code Options'!$A$1:$R$7,9)</f>
        <v>Guide</v>
      </c>
      <c r="Q212" cm="1">
        <f t="array" aca="1" ref="Q212" ca="1">_xlfn.IFS(P212 ="State_Plan", RANDBETWEEN(1,23), P212 ="State_Code", RANDBETWEEN(1,23), P212 = "Fed_Code", 99, P212 = "Summ_Article", 999, P212 = "Guide", 999)</f>
        <v>999</v>
      </c>
      <c r="R212" t="str">
        <f ca="1">VLOOKUP(Q212,'States and Locations'!$A$1:$B$26,2)</f>
        <v>UNK</v>
      </c>
      <c r="S212">
        <f ca="1">VLOOKUP(Q212,'States and Locations'!$A$1:$D$26,3)</f>
        <v>25</v>
      </c>
      <c r="T212">
        <f ca="1">VLOOKUP(Q212,'States and Locations'!$A$1:$D$26,4)</f>
        <v>-90</v>
      </c>
      <c r="U212">
        <f t="shared" ca="1" si="41"/>
        <v>4</v>
      </c>
      <c r="V212" t="str">
        <f ca="1">VLOOKUP('Master Sheet'!E212,'Code Options'!$A$1:$R$7,10)</f>
        <v>Wave_attenuation</v>
      </c>
      <c r="W212">
        <f t="shared" ca="1" si="42"/>
        <v>4</v>
      </c>
      <c r="X212" t="str">
        <f ca="1">VLOOKUP('Master Sheet'!E212,'Code Options'!$A$1:$R$7,11)</f>
        <v>Scuba</v>
      </c>
      <c r="Y212">
        <f t="shared" ca="1" si="43"/>
        <v>2</v>
      </c>
      <c r="Z212" t="str">
        <f ca="1">VLOOKUP('Master Sheet'!E212,'Code Options'!$A$1:$R$7,12)</f>
        <v>anglers</v>
      </c>
    </row>
    <row r="213" spans="1:26" x14ac:dyDescent="0.2">
      <c r="A213">
        <f t="shared" ca="1" si="33"/>
        <v>2</v>
      </c>
      <c r="B213" t="str">
        <f ca="1">VLOOKUP('Master Sheet'!A213,'Code Options'!$A$1:$B$7,2)</f>
        <v>Concrete</v>
      </c>
      <c r="C213">
        <f t="shared" ca="1" si="34"/>
        <v>1</v>
      </c>
      <c r="D213" t="str">
        <f ca="1">VLOOKUP('Master Sheet'!C213,'Code Options'!$A$1:$R$7,3)</f>
        <v>Retro</v>
      </c>
      <c r="E213">
        <f t="shared" ca="1" si="35"/>
        <v>3</v>
      </c>
      <c r="F213" t="str">
        <f ca="1">VLOOKUP('Master Sheet'!E213,'Code Options'!$A$1:$R$7,4)</f>
        <v>Jon</v>
      </c>
      <c r="G213">
        <f t="shared" ca="1" si="36"/>
        <v>2</v>
      </c>
      <c r="H213" t="str">
        <f ca="1">VLOOKUP('Master Sheet'!E213,'Code Options'!$A$1:$R$7,5)</f>
        <v>Nick</v>
      </c>
      <c r="I213">
        <f t="shared" ca="1" si="37"/>
        <v>4</v>
      </c>
      <c r="J213" t="str">
        <f ca="1">VLOOKUP('Master Sheet'!G213,'Code Options'!$A$1:$R$7,6)</f>
        <v>State</v>
      </c>
      <c r="K213">
        <f t="shared" ca="1" si="38"/>
        <v>3</v>
      </c>
      <c r="L213" t="str">
        <f ca="1">VLOOKUP('Master Sheet'!I213,'Code Options'!$A$1:$R$7,7)</f>
        <v>Biodiversity</v>
      </c>
      <c r="M213">
        <f t="shared" ca="1" si="39"/>
        <v>5</v>
      </c>
      <c r="N213" t="str">
        <f ca="1">VLOOKUP('Master Sheet'!K213,'Code Options'!$A$1:$R$7,8)</f>
        <v>Rec.Fish.Mngmt</v>
      </c>
      <c r="O213">
        <f t="shared" ca="1" si="40"/>
        <v>2</v>
      </c>
      <c r="P213" t="str">
        <f ca="1">VLOOKUP('Master Sheet'!E213,'Code Options'!$A$1:$R$7,9)</f>
        <v>State_Plan</v>
      </c>
      <c r="Q213" cm="1">
        <f t="array" aca="1" ref="Q213" ca="1">_xlfn.IFS(P213 ="State_Plan", RANDBETWEEN(1,23), P213 ="State_Code", RANDBETWEEN(1,23), P213 = "Fed_Code", 99, P213 = "Summ_Article", 999, P213 = "Guide", 999)</f>
        <v>8</v>
      </c>
      <c r="R213" t="str">
        <f ca="1">VLOOKUP(Q213,'States and Locations'!$A$1:$B$26,2)</f>
        <v>Delaware</v>
      </c>
      <c r="S213">
        <f ca="1">VLOOKUP(Q213,'States and Locations'!$A$1:$D$26,3)</f>
        <v>38.9833</v>
      </c>
      <c r="T213">
        <f ca="1">VLOOKUP(Q213,'States and Locations'!$A$1:$D$26,4)</f>
        <v>-75.5167</v>
      </c>
      <c r="U213">
        <f t="shared" ca="1" si="41"/>
        <v>5</v>
      </c>
      <c r="V213" t="str">
        <f ca="1">VLOOKUP('Master Sheet'!E213,'Code Options'!$A$1:$R$7,10)</f>
        <v>Mitig.</v>
      </c>
      <c r="W213">
        <f t="shared" ca="1" si="42"/>
        <v>1</v>
      </c>
      <c r="X213" t="str">
        <f ca="1">VLOOKUP('Master Sheet'!E213,'Code Options'!$A$1:$R$7,11)</f>
        <v>Chart_Fish</v>
      </c>
      <c r="Y213">
        <f t="shared" ca="1" si="43"/>
        <v>5</v>
      </c>
      <c r="Z213" t="str">
        <f ca="1">VLOOKUP('Master Sheet'!E213,'Code Options'!$A$1:$R$7,12)</f>
        <v>Permit_reg_agencies</v>
      </c>
    </row>
    <row r="214" spans="1:26" x14ac:dyDescent="0.2">
      <c r="A214">
        <f t="shared" ca="1" si="33"/>
        <v>1</v>
      </c>
      <c r="B214" t="str">
        <f ca="1">VLOOKUP('Master Sheet'!A214,'Code Options'!$A$1:$B$7,2)</f>
        <v>Composite</v>
      </c>
      <c r="C214">
        <f t="shared" ca="1" si="34"/>
        <v>3</v>
      </c>
      <c r="D214" t="str">
        <f ca="1">VLOOKUP('Master Sheet'!C214,'Code Options'!$A$1:$R$7,3)</f>
        <v>Unsure</v>
      </c>
      <c r="E214">
        <f t="shared" ca="1" si="35"/>
        <v>5</v>
      </c>
      <c r="F214" t="str">
        <f ca="1">VLOOKUP('Master Sheet'!E214,'Code Options'!$A$1:$R$7,4)</f>
        <v>Nick</v>
      </c>
      <c r="G214">
        <f t="shared" ca="1" si="36"/>
        <v>3</v>
      </c>
      <c r="H214">
        <f ca="1">VLOOKUP('Master Sheet'!E214,'Code Options'!$A$1:$R$7,5)</f>
        <v>0</v>
      </c>
      <c r="I214">
        <f t="shared" ca="1" si="37"/>
        <v>1</v>
      </c>
      <c r="J214" t="str">
        <f ca="1">VLOOKUP('Master Sheet'!G214,'Code Options'!$A$1:$R$7,6)</f>
        <v>Regional</v>
      </c>
      <c r="K214">
        <f t="shared" ca="1" si="38"/>
        <v>1</v>
      </c>
      <c r="L214" t="str">
        <f ca="1">VLOOKUP('Master Sheet'!I214,'Code Options'!$A$1:$R$7,7)</f>
        <v>Habitat</v>
      </c>
      <c r="M214">
        <f t="shared" ca="1" si="39"/>
        <v>5</v>
      </c>
      <c r="N214" t="str">
        <f ca="1">VLOOKUP('Master Sheet'!K214,'Code Options'!$A$1:$R$7,8)</f>
        <v>Fish.Enhancement</v>
      </c>
      <c r="O214">
        <f t="shared" ca="1" si="40"/>
        <v>2</v>
      </c>
      <c r="P214" t="str">
        <f ca="1">VLOOKUP('Master Sheet'!E214,'Code Options'!$A$1:$R$7,9)</f>
        <v>Guide</v>
      </c>
      <c r="Q214" cm="1">
        <f t="array" aca="1" ref="Q214" ca="1">_xlfn.IFS(P214 ="State_Plan", RANDBETWEEN(1,23), P214 ="State_Code", RANDBETWEEN(1,23), P214 = "Fed_Code", 99, P214 = "Summ_Article", 999, P214 = "Guide", 999)</f>
        <v>999</v>
      </c>
      <c r="R214" t="str">
        <f ca="1">VLOOKUP(Q214,'States and Locations'!$A$1:$B$26,2)</f>
        <v>UNK</v>
      </c>
      <c r="S214">
        <f ca="1">VLOOKUP(Q214,'States and Locations'!$A$1:$D$26,3)</f>
        <v>25</v>
      </c>
      <c r="T214">
        <f ca="1">VLOOKUP(Q214,'States and Locations'!$A$1:$D$26,4)</f>
        <v>-90</v>
      </c>
      <c r="U214">
        <f t="shared" ca="1" si="41"/>
        <v>2</v>
      </c>
      <c r="V214" t="str">
        <f ca="1">VLOOKUP('Master Sheet'!E214,'Code Options'!$A$1:$R$7,10)</f>
        <v>Wave_attenuation</v>
      </c>
      <c r="W214">
        <f t="shared" ca="1" si="42"/>
        <v>3</v>
      </c>
      <c r="X214" t="str">
        <f ca="1">VLOOKUP('Master Sheet'!E214,'Code Options'!$A$1:$R$7,11)</f>
        <v>Scuba</v>
      </c>
      <c r="Y214">
        <f t="shared" ca="1" si="43"/>
        <v>3</v>
      </c>
      <c r="Z214" t="str">
        <f ca="1">VLOOKUP('Master Sheet'!E214,'Code Options'!$A$1:$R$7,12)</f>
        <v>anglers</v>
      </c>
    </row>
    <row r="215" spans="1:26" x14ac:dyDescent="0.2">
      <c r="A215">
        <f t="shared" ca="1" si="33"/>
        <v>2</v>
      </c>
      <c r="B215" t="str">
        <f ca="1">VLOOKUP('Master Sheet'!A215,'Code Options'!$A$1:$B$7,2)</f>
        <v>Concrete</v>
      </c>
      <c r="C215">
        <f t="shared" ca="1" si="34"/>
        <v>3</v>
      </c>
      <c r="D215" t="str">
        <f ca="1">VLOOKUP('Master Sheet'!C215,'Code Options'!$A$1:$R$7,3)</f>
        <v>Unsure</v>
      </c>
      <c r="E215">
        <f t="shared" ca="1" si="35"/>
        <v>1</v>
      </c>
      <c r="F215" t="str">
        <f ca="1">VLOOKUP('Master Sheet'!E215,'Code Options'!$A$1:$R$7,4)</f>
        <v>Will</v>
      </c>
      <c r="G215">
        <f t="shared" ca="1" si="36"/>
        <v>1</v>
      </c>
      <c r="H215" t="str">
        <f ca="1">VLOOKUP('Master Sheet'!E215,'Code Options'!$A$1:$R$7,5)</f>
        <v>Will</v>
      </c>
      <c r="I215">
        <f t="shared" ca="1" si="37"/>
        <v>1</v>
      </c>
      <c r="J215" t="str">
        <f ca="1">VLOOKUP('Master Sheet'!G215,'Code Options'!$A$1:$R$7,6)</f>
        <v>County/Local</v>
      </c>
      <c r="K215">
        <f t="shared" ca="1" si="38"/>
        <v>4</v>
      </c>
      <c r="L215" t="str">
        <f ca="1">VLOOKUP('Master Sheet'!I215,'Code Options'!$A$1:$R$7,7)</f>
        <v>Habitat</v>
      </c>
      <c r="M215">
        <f t="shared" ca="1" si="39"/>
        <v>5</v>
      </c>
      <c r="N215" t="str">
        <f ca="1">VLOOKUP('Master Sheet'!K215,'Code Options'!$A$1:$R$7,8)</f>
        <v>Creation of AR Mat</v>
      </c>
      <c r="O215">
        <f t="shared" ca="1" si="40"/>
        <v>2</v>
      </c>
      <c r="P215" t="str">
        <f ca="1">VLOOKUP('Master Sheet'!E215,'Code Options'!$A$1:$R$7,9)</f>
        <v>State_Code</v>
      </c>
      <c r="Q215" cm="1">
        <f t="array" aca="1" ref="Q215" ca="1">_xlfn.IFS(P215 ="State_Plan", RANDBETWEEN(1,23), P215 ="State_Code", RANDBETWEEN(1,23), P215 = "Fed_Code", 99, P215 = "Summ_Article", 999, P215 = "Guide", 999)</f>
        <v>16</v>
      </c>
      <c r="R215" t="str">
        <f ca="1">VLOOKUP(Q215,'States and Locations'!$A$1:$B$26,2)</f>
        <v>Louisiana</v>
      </c>
      <c r="S215">
        <f ca="1">VLOOKUP(Q215,'States and Locations'!$A$1:$D$26,3)</f>
        <v>30.4</v>
      </c>
      <c r="T215">
        <f ca="1">VLOOKUP(Q215,'States and Locations'!$A$1:$D$26,4)</f>
        <v>-92.333299999999994</v>
      </c>
      <c r="U215">
        <f t="shared" ca="1" si="41"/>
        <v>3</v>
      </c>
      <c r="V215" t="str">
        <f ca="1">VLOOKUP('Master Sheet'!E215,'Code Options'!$A$1:$R$7,10)</f>
        <v>Hab_enhancement</v>
      </c>
      <c r="W215">
        <f t="shared" ca="1" si="42"/>
        <v>2</v>
      </c>
      <c r="X215" t="str">
        <f ca="1">VLOOKUP('Master Sheet'!E215,'Code Options'!$A$1:$R$7,11)</f>
        <v>Rec_Fish</v>
      </c>
      <c r="Y215">
        <f t="shared" ca="1" si="43"/>
        <v>4</v>
      </c>
      <c r="Z215" t="str">
        <f ca="1">VLOOKUP('Master Sheet'!E215,'Code Options'!$A$1:$R$7,12)</f>
        <v>AR_proj_plan_mngrs</v>
      </c>
    </row>
    <row r="216" spans="1:26" x14ac:dyDescent="0.2">
      <c r="A216">
        <f t="shared" ca="1" si="33"/>
        <v>3</v>
      </c>
      <c r="B216" t="str">
        <f ca="1">VLOOKUP('Master Sheet'!A216,'Code Options'!$A$1:$B$7,2)</f>
        <v>Metal</v>
      </c>
      <c r="C216">
        <f t="shared" ca="1" si="34"/>
        <v>3</v>
      </c>
      <c r="D216" t="str">
        <f ca="1">VLOOKUP('Master Sheet'!C216,'Code Options'!$A$1:$R$7,3)</f>
        <v>Unsure</v>
      </c>
      <c r="E216">
        <f t="shared" ca="1" si="35"/>
        <v>3</v>
      </c>
      <c r="F216" t="str">
        <f ca="1">VLOOKUP('Master Sheet'!E216,'Code Options'!$A$1:$R$7,4)</f>
        <v>Jon</v>
      </c>
      <c r="G216">
        <f t="shared" ca="1" si="36"/>
        <v>1</v>
      </c>
      <c r="H216" t="str">
        <f ca="1">VLOOKUP('Master Sheet'!E216,'Code Options'!$A$1:$R$7,5)</f>
        <v>Nick</v>
      </c>
      <c r="I216">
        <f t="shared" ca="1" si="37"/>
        <v>2</v>
      </c>
      <c r="J216" t="str">
        <f ca="1">VLOOKUP('Master Sheet'!G216,'Code Options'!$A$1:$R$7,6)</f>
        <v>County/Local</v>
      </c>
      <c r="K216">
        <f t="shared" ca="1" si="38"/>
        <v>2</v>
      </c>
      <c r="L216" t="str">
        <f ca="1">VLOOKUP('Master Sheet'!I216,'Code Options'!$A$1:$R$7,7)</f>
        <v>Production</v>
      </c>
      <c r="M216">
        <f t="shared" ca="1" si="39"/>
        <v>4</v>
      </c>
      <c r="N216" t="str">
        <f ca="1">VLOOKUP('Master Sheet'!K216,'Code Options'!$A$1:$R$7,8)</f>
        <v>Comm.Fish.Mngmt</v>
      </c>
      <c r="O216">
        <f t="shared" ca="1" si="40"/>
        <v>4</v>
      </c>
      <c r="P216" t="str">
        <f ca="1">VLOOKUP('Master Sheet'!E216,'Code Options'!$A$1:$R$7,9)</f>
        <v>State_Plan</v>
      </c>
      <c r="Q216" cm="1">
        <f t="array" aca="1" ref="Q216" ca="1">_xlfn.IFS(P216 ="State_Plan", RANDBETWEEN(1,23), P216 ="State_Code", RANDBETWEEN(1,23), P216 = "Fed_Code", 99, P216 = "Summ_Article", 999, P216 = "Guide", 999)</f>
        <v>21</v>
      </c>
      <c r="R216" t="str">
        <f ca="1">VLOOKUP(Q216,'States and Locations'!$A$1:$B$26,2)</f>
        <v>Washington</v>
      </c>
      <c r="S216">
        <f ca="1">VLOOKUP(Q216,'States and Locations'!$A$1:$D$26,3)</f>
        <v>47.75</v>
      </c>
      <c r="T216">
        <f ca="1">VLOOKUP(Q216,'States and Locations'!$A$1:$D$26,4)</f>
        <v>-120.7333</v>
      </c>
      <c r="U216">
        <f t="shared" ca="1" si="41"/>
        <v>5</v>
      </c>
      <c r="V216" t="str">
        <f ca="1">VLOOKUP('Master Sheet'!E216,'Code Options'!$A$1:$R$7,10)</f>
        <v>Mitig.</v>
      </c>
      <c r="W216">
        <f t="shared" ca="1" si="42"/>
        <v>1</v>
      </c>
      <c r="X216" t="str">
        <f ca="1">VLOOKUP('Master Sheet'!E216,'Code Options'!$A$1:$R$7,11)</f>
        <v>Chart_Fish</v>
      </c>
      <c r="Y216">
        <f t="shared" ca="1" si="43"/>
        <v>2</v>
      </c>
      <c r="Z216" t="str">
        <f ca="1">VLOOKUP('Master Sheet'!E216,'Code Options'!$A$1:$R$7,12)</f>
        <v>Permit_reg_agencies</v>
      </c>
    </row>
    <row r="217" spans="1:26" x14ac:dyDescent="0.2">
      <c r="A217">
        <f t="shared" ca="1" si="33"/>
        <v>2</v>
      </c>
      <c r="B217" t="str">
        <f ca="1">VLOOKUP('Master Sheet'!A217,'Code Options'!$A$1:$B$7,2)</f>
        <v>Concrete</v>
      </c>
      <c r="C217">
        <f t="shared" ca="1" si="34"/>
        <v>2</v>
      </c>
      <c r="D217" t="str">
        <f ca="1">VLOOKUP('Master Sheet'!C217,'Code Options'!$A$1:$R$7,3)</f>
        <v>Pro</v>
      </c>
      <c r="E217">
        <f t="shared" ca="1" si="35"/>
        <v>3</v>
      </c>
      <c r="F217" t="str">
        <f ca="1">VLOOKUP('Master Sheet'!E217,'Code Options'!$A$1:$R$7,4)</f>
        <v>Jon</v>
      </c>
      <c r="G217">
        <f t="shared" ca="1" si="36"/>
        <v>3</v>
      </c>
      <c r="H217" t="str">
        <f ca="1">VLOOKUP('Master Sheet'!E217,'Code Options'!$A$1:$R$7,5)</f>
        <v>Nick</v>
      </c>
      <c r="I217">
        <f t="shared" ca="1" si="37"/>
        <v>3</v>
      </c>
      <c r="J217" t="str">
        <f ca="1">VLOOKUP('Master Sheet'!G217,'Code Options'!$A$1:$R$7,6)</f>
        <v>Regional</v>
      </c>
      <c r="K217">
        <f t="shared" ca="1" si="38"/>
        <v>1</v>
      </c>
      <c r="L217" t="str">
        <f ca="1">VLOOKUP('Master Sheet'!I217,'Code Options'!$A$1:$R$7,7)</f>
        <v>Aggregation</v>
      </c>
      <c r="M217">
        <f t="shared" ca="1" si="39"/>
        <v>1</v>
      </c>
      <c r="N217" t="str">
        <f ca="1">VLOOKUP('Master Sheet'!K217,'Code Options'!$A$1:$R$7,8)</f>
        <v>Fish.Enhancement</v>
      </c>
      <c r="O217">
        <f t="shared" ca="1" si="40"/>
        <v>5</v>
      </c>
      <c r="P217" t="str">
        <f ca="1">VLOOKUP('Master Sheet'!E217,'Code Options'!$A$1:$R$7,9)</f>
        <v>State_Plan</v>
      </c>
      <c r="Q217" cm="1">
        <f t="array" aca="1" ref="Q217" ca="1">_xlfn.IFS(P217 ="State_Plan", RANDBETWEEN(1,23), P217 ="State_Code", RANDBETWEEN(1,23), P217 = "Fed_Code", 99, P217 = "Summ_Article", 999, P217 = "Guide", 999)</f>
        <v>18</v>
      </c>
      <c r="R217" t="str">
        <f ca="1">VLOOKUP(Q217,'States and Locations'!$A$1:$B$26,2)</f>
        <v>Alabama</v>
      </c>
      <c r="S217">
        <f ca="1">VLOOKUP(Q217,'States and Locations'!$A$1:$D$26,3)</f>
        <v>32.833300000000001</v>
      </c>
      <c r="T217">
        <f ca="1">VLOOKUP(Q217,'States and Locations'!$A$1:$D$26,4)</f>
        <v>-86.633300000000006</v>
      </c>
      <c r="U217">
        <f t="shared" ca="1" si="41"/>
        <v>3</v>
      </c>
      <c r="V217" t="str">
        <f ca="1">VLOOKUP('Master Sheet'!E217,'Code Options'!$A$1:$R$7,10)</f>
        <v>Mitig.</v>
      </c>
      <c r="W217">
        <f t="shared" ca="1" si="42"/>
        <v>2</v>
      </c>
      <c r="X217" t="str">
        <f ca="1">VLOOKUP('Master Sheet'!E217,'Code Options'!$A$1:$R$7,11)</f>
        <v>Chart_Fish</v>
      </c>
      <c r="Y217">
        <f t="shared" ca="1" si="43"/>
        <v>2</v>
      </c>
      <c r="Z217" t="str">
        <f ca="1">VLOOKUP('Master Sheet'!E217,'Code Options'!$A$1:$R$7,12)</f>
        <v>Permit_reg_agencies</v>
      </c>
    </row>
    <row r="218" spans="1:26" x14ac:dyDescent="0.2">
      <c r="A218">
        <f t="shared" ca="1" si="33"/>
        <v>5</v>
      </c>
      <c r="B218" t="str">
        <f ca="1">VLOOKUP('Master Sheet'!A218,'Code Options'!$A$1:$B$7,2)</f>
        <v>Rock</v>
      </c>
      <c r="C218">
        <f t="shared" ca="1" si="34"/>
        <v>3</v>
      </c>
      <c r="D218" t="str">
        <f ca="1">VLOOKUP('Master Sheet'!C218,'Code Options'!$A$1:$R$7,3)</f>
        <v>Unsure</v>
      </c>
      <c r="E218">
        <f t="shared" ca="1" si="35"/>
        <v>2</v>
      </c>
      <c r="F218" t="str">
        <f ca="1">VLOOKUP('Master Sheet'!E218,'Code Options'!$A$1:$R$7,4)</f>
        <v>Cyndi</v>
      </c>
      <c r="G218">
        <f t="shared" ca="1" si="36"/>
        <v>1</v>
      </c>
      <c r="H218" t="str">
        <f ca="1">VLOOKUP('Master Sheet'!E218,'Code Options'!$A$1:$R$7,5)</f>
        <v>Cyndi</v>
      </c>
      <c r="I218">
        <f t="shared" ca="1" si="37"/>
        <v>2</v>
      </c>
      <c r="J218" t="str">
        <f ca="1">VLOOKUP('Master Sheet'!G218,'Code Options'!$A$1:$R$7,6)</f>
        <v>County/Local</v>
      </c>
      <c r="K218">
        <f t="shared" ca="1" si="38"/>
        <v>1</v>
      </c>
      <c r="L218" t="str">
        <f ca="1">VLOOKUP('Master Sheet'!I218,'Code Options'!$A$1:$R$7,7)</f>
        <v>Production</v>
      </c>
      <c r="M218">
        <f t="shared" ca="1" si="39"/>
        <v>5</v>
      </c>
      <c r="N218" t="str">
        <f ca="1">VLOOKUP('Master Sheet'!K218,'Code Options'!$A$1:$R$7,8)</f>
        <v>Fish.Enhancement</v>
      </c>
      <c r="O218">
        <f t="shared" ca="1" si="40"/>
        <v>3</v>
      </c>
      <c r="P218" t="str">
        <f ca="1">VLOOKUP('Master Sheet'!E218,'Code Options'!$A$1:$R$7,9)</f>
        <v>Fed_Code</v>
      </c>
      <c r="Q218" cm="1">
        <f t="array" aca="1" ref="Q218" ca="1">_xlfn.IFS(P218 ="State_Plan", RANDBETWEEN(1,23), P218 ="State_Code", RANDBETWEEN(1,23), P218 = "Fed_Code", 99, P218 = "Summ_Article", 999, P218 = "Guide", 999)</f>
        <v>99</v>
      </c>
      <c r="R218" t="str">
        <f ca="1">VLOOKUP(Q218,'States and Locations'!$A$1:$B$26,2)</f>
        <v>National</v>
      </c>
      <c r="S218">
        <f ca="1">VLOOKUP(Q218,'States and Locations'!$A$1:$D$26,3)</f>
        <v>39.833300000000001</v>
      </c>
      <c r="T218">
        <f ca="1">VLOOKUP(Q218,'States and Locations'!$A$1:$D$26,4)</f>
        <v>-98.583299999999994</v>
      </c>
      <c r="U218">
        <f t="shared" ca="1" si="41"/>
        <v>5</v>
      </c>
      <c r="V218" t="str">
        <f ca="1">VLOOKUP('Master Sheet'!E218,'Code Options'!$A$1:$R$7,10)</f>
        <v>Disposal</v>
      </c>
      <c r="W218">
        <f t="shared" ca="1" si="42"/>
        <v>2</v>
      </c>
      <c r="X218" t="str">
        <f ca="1">VLOOKUP('Master Sheet'!E218,'Code Options'!$A$1:$R$7,11)</f>
        <v>Comm_Fish</v>
      </c>
      <c r="Y218">
        <f t="shared" ca="1" si="43"/>
        <v>3</v>
      </c>
      <c r="Z218" t="str">
        <f ca="1">VLOOKUP('Master Sheet'!E218,'Code Options'!$A$1:$R$7,12)</f>
        <v>AS_constructors</v>
      </c>
    </row>
    <row r="219" spans="1:26" x14ac:dyDescent="0.2">
      <c r="A219">
        <f t="shared" ca="1" si="33"/>
        <v>6</v>
      </c>
      <c r="B219" t="str">
        <f ca="1">VLOOKUP('Master Sheet'!A219,'Code Options'!$A$1:$B$7,2)</f>
        <v>Tires/Rubber</v>
      </c>
      <c r="C219">
        <f t="shared" ca="1" si="34"/>
        <v>3</v>
      </c>
      <c r="D219" t="str">
        <f ca="1">VLOOKUP('Master Sheet'!C219,'Code Options'!$A$1:$R$7,3)</f>
        <v>Unsure</v>
      </c>
      <c r="E219">
        <f t="shared" ca="1" si="35"/>
        <v>5</v>
      </c>
      <c r="F219" t="str">
        <f ca="1">VLOOKUP('Master Sheet'!E219,'Code Options'!$A$1:$R$7,4)</f>
        <v>Nick</v>
      </c>
      <c r="G219">
        <f t="shared" ca="1" si="36"/>
        <v>1</v>
      </c>
      <c r="H219">
        <f ca="1">VLOOKUP('Master Sheet'!E219,'Code Options'!$A$1:$R$7,5)</f>
        <v>0</v>
      </c>
      <c r="I219">
        <f t="shared" ca="1" si="37"/>
        <v>2</v>
      </c>
      <c r="J219" t="str">
        <f ca="1">VLOOKUP('Master Sheet'!G219,'Code Options'!$A$1:$R$7,6)</f>
        <v>County/Local</v>
      </c>
      <c r="K219">
        <f t="shared" ca="1" si="38"/>
        <v>1</v>
      </c>
      <c r="L219" t="str">
        <f ca="1">VLOOKUP('Master Sheet'!I219,'Code Options'!$A$1:$R$7,7)</f>
        <v>Production</v>
      </c>
      <c r="M219">
        <f t="shared" ca="1" si="39"/>
        <v>2</v>
      </c>
      <c r="N219" t="str">
        <f ca="1">VLOOKUP('Master Sheet'!K219,'Code Options'!$A$1:$R$7,8)</f>
        <v>Fish.Enhancement</v>
      </c>
      <c r="O219">
        <f t="shared" ca="1" si="40"/>
        <v>3</v>
      </c>
      <c r="P219" t="str">
        <f ca="1">VLOOKUP('Master Sheet'!E219,'Code Options'!$A$1:$R$7,9)</f>
        <v>Guide</v>
      </c>
      <c r="Q219" cm="1">
        <f t="array" aca="1" ref="Q219" ca="1">_xlfn.IFS(P219 ="State_Plan", RANDBETWEEN(1,23), P219 ="State_Code", RANDBETWEEN(1,23), P219 = "Fed_Code", 99, P219 = "Summ_Article", 999, P219 = "Guide", 999)</f>
        <v>999</v>
      </c>
      <c r="R219" t="str">
        <f ca="1">VLOOKUP(Q219,'States and Locations'!$A$1:$B$26,2)</f>
        <v>UNK</v>
      </c>
      <c r="S219">
        <f ca="1">VLOOKUP(Q219,'States and Locations'!$A$1:$D$26,3)</f>
        <v>25</v>
      </c>
      <c r="T219">
        <f ca="1">VLOOKUP(Q219,'States and Locations'!$A$1:$D$26,4)</f>
        <v>-90</v>
      </c>
      <c r="U219">
        <f t="shared" ca="1" si="41"/>
        <v>4</v>
      </c>
      <c r="V219" t="str">
        <f ca="1">VLOOKUP('Master Sheet'!E219,'Code Options'!$A$1:$R$7,10)</f>
        <v>Wave_attenuation</v>
      </c>
      <c r="W219">
        <f t="shared" ca="1" si="42"/>
        <v>5</v>
      </c>
      <c r="X219" t="str">
        <f ca="1">VLOOKUP('Master Sheet'!E219,'Code Options'!$A$1:$R$7,11)</f>
        <v>Scuba</v>
      </c>
      <c r="Y219">
        <f t="shared" ca="1" si="43"/>
        <v>5</v>
      </c>
      <c r="Z219" t="str">
        <f ca="1">VLOOKUP('Master Sheet'!E219,'Code Options'!$A$1:$R$7,12)</f>
        <v>anglers</v>
      </c>
    </row>
    <row r="220" spans="1:26" x14ac:dyDescent="0.2">
      <c r="A220">
        <f t="shared" ca="1" si="33"/>
        <v>6</v>
      </c>
      <c r="B220" t="str">
        <f ca="1">VLOOKUP('Master Sheet'!A220,'Code Options'!$A$1:$B$7,2)</f>
        <v>Tires/Rubber</v>
      </c>
      <c r="C220">
        <f t="shared" ca="1" si="34"/>
        <v>2</v>
      </c>
      <c r="D220" t="str">
        <f ca="1">VLOOKUP('Master Sheet'!C220,'Code Options'!$A$1:$R$7,3)</f>
        <v>Pro</v>
      </c>
      <c r="E220">
        <f t="shared" ca="1" si="35"/>
        <v>5</v>
      </c>
      <c r="F220" t="str">
        <f ca="1">VLOOKUP('Master Sheet'!E220,'Code Options'!$A$1:$R$7,4)</f>
        <v>Nick</v>
      </c>
      <c r="G220">
        <f t="shared" ca="1" si="36"/>
        <v>3</v>
      </c>
      <c r="H220">
        <f ca="1">VLOOKUP('Master Sheet'!E220,'Code Options'!$A$1:$R$7,5)</f>
        <v>0</v>
      </c>
      <c r="I220">
        <f t="shared" ca="1" si="37"/>
        <v>3</v>
      </c>
      <c r="J220" t="str">
        <f ca="1">VLOOKUP('Master Sheet'!G220,'Code Options'!$A$1:$R$7,6)</f>
        <v>Regional</v>
      </c>
      <c r="K220">
        <f t="shared" ca="1" si="38"/>
        <v>2</v>
      </c>
      <c r="L220" t="str">
        <f ca="1">VLOOKUP('Master Sheet'!I220,'Code Options'!$A$1:$R$7,7)</f>
        <v>Aggregation</v>
      </c>
      <c r="M220">
        <f t="shared" ca="1" si="39"/>
        <v>4</v>
      </c>
      <c r="N220" t="str">
        <f ca="1">VLOOKUP('Master Sheet'!K220,'Code Options'!$A$1:$R$7,8)</f>
        <v>Comm.Fish.Mngmt</v>
      </c>
      <c r="O220">
        <f t="shared" ca="1" si="40"/>
        <v>5</v>
      </c>
      <c r="P220" t="str">
        <f ca="1">VLOOKUP('Master Sheet'!E220,'Code Options'!$A$1:$R$7,9)</f>
        <v>Guide</v>
      </c>
      <c r="Q220" cm="1">
        <f t="array" aca="1" ref="Q220" ca="1">_xlfn.IFS(P220 ="State_Plan", RANDBETWEEN(1,23), P220 ="State_Code", RANDBETWEEN(1,23), P220 = "Fed_Code", 99, P220 = "Summ_Article", 999, P220 = "Guide", 999)</f>
        <v>999</v>
      </c>
      <c r="R220" t="str">
        <f ca="1">VLOOKUP(Q220,'States and Locations'!$A$1:$B$26,2)</f>
        <v>UNK</v>
      </c>
      <c r="S220">
        <f ca="1">VLOOKUP(Q220,'States and Locations'!$A$1:$D$26,3)</f>
        <v>25</v>
      </c>
      <c r="T220">
        <f ca="1">VLOOKUP(Q220,'States and Locations'!$A$1:$D$26,4)</f>
        <v>-90</v>
      </c>
      <c r="U220">
        <f t="shared" ca="1" si="41"/>
        <v>5</v>
      </c>
      <c r="V220" t="str">
        <f ca="1">VLOOKUP('Master Sheet'!E220,'Code Options'!$A$1:$R$7,10)</f>
        <v>Wave_attenuation</v>
      </c>
      <c r="W220">
        <f t="shared" ca="1" si="42"/>
        <v>4</v>
      </c>
      <c r="X220" t="str">
        <f ca="1">VLOOKUP('Master Sheet'!E220,'Code Options'!$A$1:$R$7,11)</f>
        <v>Scuba</v>
      </c>
      <c r="Y220">
        <f t="shared" ca="1" si="43"/>
        <v>2</v>
      </c>
      <c r="Z220" t="str">
        <f ca="1">VLOOKUP('Master Sheet'!E220,'Code Options'!$A$1:$R$7,12)</f>
        <v>anglers</v>
      </c>
    </row>
    <row r="221" spans="1:26" x14ac:dyDescent="0.2">
      <c r="A221">
        <f t="shared" ca="1" si="33"/>
        <v>6</v>
      </c>
      <c r="B221" t="str">
        <f ca="1">VLOOKUP('Master Sheet'!A221,'Code Options'!$A$1:$B$7,2)</f>
        <v>Tires/Rubber</v>
      </c>
      <c r="C221">
        <f t="shared" ca="1" si="34"/>
        <v>3</v>
      </c>
      <c r="D221" t="str">
        <f ca="1">VLOOKUP('Master Sheet'!C221,'Code Options'!$A$1:$R$7,3)</f>
        <v>Unsure</v>
      </c>
      <c r="E221">
        <f t="shared" ca="1" si="35"/>
        <v>5</v>
      </c>
      <c r="F221" t="str">
        <f ca="1">VLOOKUP('Master Sheet'!E221,'Code Options'!$A$1:$R$7,4)</f>
        <v>Nick</v>
      </c>
      <c r="G221">
        <f t="shared" ca="1" si="36"/>
        <v>1</v>
      </c>
      <c r="H221">
        <f ca="1">VLOOKUP('Master Sheet'!E221,'Code Options'!$A$1:$R$7,5)</f>
        <v>0</v>
      </c>
      <c r="I221">
        <f t="shared" ca="1" si="37"/>
        <v>4</v>
      </c>
      <c r="J221" t="str">
        <f ca="1">VLOOKUP('Master Sheet'!G221,'Code Options'!$A$1:$R$7,6)</f>
        <v>County/Local</v>
      </c>
      <c r="K221">
        <f t="shared" ca="1" si="38"/>
        <v>2</v>
      </c>
      <c r="L221" t="str">
        <f ca="1">VLOOKUP('Master Sheet'!I221,'Code Options'!$A$1:$R$7,7)</f>
        <v>Biodiversity</v>
      </c>
      <c r="M221">
        <f t="shared" ca="1" si="39"/>
        <v>2</v>
      </c>
      <c r="N221" t="str">
        <f ca="1">VLOOKUP('Master Sheet'!K221,'Code Options'!$A$1:$R$7,8)</f>
        <v>Comm.Fish.Mngmt</v>
      </c>
      <c r="O221">
        <f t="shared" ca="1" si="40"/>
        <v>3</v>
      </c>
      <c r="P221" t="str">
        <f ca="1">VLOOKUP('Master Sheet'!E221,'Code Options'!$A$1:$R$7,9)</f>
        <v>Guide</v>
      </c>
      <c r="Q221" cm="1">
        <f t="array" aca="1" ref="Q221" ca="1">_xlfn.IFS(P221 ="State_Plan", RANDBETWEEN(1,23), P221 ="State_Code", RANDBETWEEN(1,23), P221 = "Fed_Code", 99, P221 = "Summ_Article", 999, P221 = "Guide", 999)</f>
        <v>999</v>
      </c>
      <c r="R221" t="str">
        <f ca="1">VLOOKUP(Q221,'States and Locations'!$A$1:$B$26,2)</f>
        <v>UNK</v>
      </c>
      <c r="S221">
        <f ca="1">VLOOKUP(Q221,'States and Locations'!$A$1:$D$26,3)</f>
        <v>25</v>
      </c>
      <c r="T221">
        <f ca="1">VLOOKUP(Q221,'States and Locations'!$A$1:$D$26,4)</f>
        <v>-90</v>
      </c>
      <c r="U221">
        <f t="shared" ca="1" si="41"/>
        <v>1</v>
      </c>
      <c r="V221" t="str">
        <f ca="1">VLOOKUP('Master Sheet'!E221,'Code Options'!$A$1:$R$7,10)</f>
        <v>Wave_attenuation</v>
      </c>
      <c r="W221">
        <f t="shared" ca="1" si="42"/>
        <v>5</v>
      </c>
      <c r="X221" t="str">
        <f ca="1">VLOOKUP('Master Sheet'!E221,'Code Options'!$A$1:$R$7,11)</f>
        <v>Scuba</v>
      </c>
      <c r="Y221">
        <f t="shared" ca="1" si="43"/>
        <v>5</v>
      </c>
      <c r="Z221" t="str">
        <f ca="1">VLOOKUP('Master Sheet'!E221,'Code Options'!$A$1:$R$7,12)</f>
        <v>anglers</v>
      </c>
    </row>
    <row r="222" spans="1:26" x14ac:dyDescent="0.2">
      <c r="A222">
        <f t="shared" ca="1" si="33"/>
        <v>5</v>
      </c>
      <c r="B222" t="str">
        <f ca="1">VLOOKUP('Master Sheet'!A222,'Code Options'!$A$1:$B$7,2)</f>
        <v>Rock</v>
      </c>
      <c r="C222">
        <f t="shared" ca="1" si="34"/>
        <v>3</v>
      </c>
      <c r="D222" t="str">
        <f ca="1">VLOOKUP('Master Sheet'!C222,'Code Options'!$A$1:$R$7,3)</f>
        <v>Unsure</v>
      </c>
      <c r="E222">
        <f t="shared" ca="1" si="35"/>
        <v>1</v>
      </c>
      <c r="F222" t="str">
        <f ca="1">VLOOKUP('Master Sheet'!E222,'Code Options'!$A$1:$R$7,4)</f>
        <v>Will</v>
      </c>
      <c r="G222">
        <f t="shared" ca="1" si="36"/>
        <v>1</v>
      </c>
      <c r="H222" t="str">
        <f ca="1">VLOOKUP('Master Sheet'!E222,'Code Options'!$A$1:$R$7,5)</f>
        <v>Will</v>
      </c>
      <c r="I222">
        <f t="shared" ca="1" si="37"/>
        <v>3</v>
      </c>
      <c r="J222" t="str">
        <f ca="1">VLOOKUP('Master Sheet'!G222,'Code Options'!$A$1:$R$7,6)</f>
        <v>County/Local</v>
      </c>
      <c r="K222">
        <f t="shared" ca="1" si="38"/>
        <v>3</v>
      </c>
      <c r="L222" t="str">
        <f ca="1">VLOOKUP('Master Sheet'!I222,'Code Options'!$A$1:$R$7,7)</f>
        <v>Aggregation</v>
      </c>
      <c r="M222">
        <f t="shared" ca="1" si="39"/>
        <v>5</v>
      </c>
      <c r="N222" t="str">
        <f ca="1">VLOOKUP('Master Sheet'!K222,'Code Options'!$A$1:$R$7,8)</f>
        <v>Rec.Fish.Mngmt</v>
      </c>
      <c r="O222">
        <f t="shared" ca="1" si="40"/>
        <v>4</v>
      </c>
      <c r="P222" t="str">
        <f ca="1">VLOOKUP('Master Sheet'!E222,'Code Options'!$A$1:$R$7,9)</f>
        <v>State_Code</v>
      </c>
      <c r="Q222" cm="1">
        <f t="array" aca="1" ref="Q222" ca="1">_xlfn.IFS(P222 ="State_Plan", RANDBETWEEN(1,23), P222 ="State_Code", RANDBETWEEN(1,23), P222 = "Fed_Code", 99, P222 = "Summ_Article", 999, P222 = "Guide", 999)</f>
        <v>7</v>
      </c>
      <c r="R222" t="str">
        <f ca="1">VLOOKUP(Q222,'States and Locations'!$A$1:$B$26,2)</f>
        <v>New Jersey</v>
      </c>
      <c r="S222">
        <f ca="1">VLOOKUP(Q222,'States and Locations'!$A$1:$D$26,3)</f>
        <v>39.833300000000001</v>
      </c>
      <c r="T222">
        <f ca="1">VLOOKUP(Q222,'States and Locations'!$A$1:$D$26,4)</f>
        <v>-74.866699999999994</v>
      </c>
      <c r="U222">
        <f t="shared" ca="1" si="41"/>
        <v>3</v>
      </c>
      <c r="V222" t="str">
        <f ca="1">VLOOKUP('Master Sheet'!E222,'Code Options'!$A$1:$R$7,10)</f>
        <v>Hab_enhancement</v>
      </c>
      <c r="W222">
        <f t="shared" ca="1" si="42"/>
        <v>2</v>
      </c>
      <c r="X222" t="str">
        <f ca="1">VLOOKUP('Master Sheet'!E222,'Code Options'!$A$1:$R$7,11)</f>
        <v>Rec_Fish</v>
      </c>
      <c r="Y222">
        <f t="shared" ca="1" si="43"/>
        <v>3</v>
      </c>
      <c r="Z222" t="str">
        <f ca="1">VLOOKUP('Master Sheet'!E222,'Code Options'!$A$1:$R$7,12)</f>
        <v>AR_proj_plan_mngrs</v>
      </c>
    </row>
    <row r="223" spans="1:26" x14ac:dyDescent="0.2">
      <c r="A223">
        <f t="shared" ca="1" si="33"/>
        <v>3</v>
      </c>
      <c r="B223" t="str">
        <f ca="1">VLOOKUP('Master Sheet'!A223,'Code Options'!$A$1:$B$7,2)</f>
        <v>Metal</v>
      </c>
      <c r="C223">
        <f t="shared" ca="1" si="34"/>
        <v>3</v>
      </c>
      <c r="D223" t="str">
        <f ca="1">VLOOKUP('Master Sheet'!C223,'Code Options'!$A$1:$R$7,3)</f>
        <v>Unsure</v>
      </c>
      <c r="E223">
        <f t="shared" ca="1" si="35"/>
        <v>2</v>
      </c>
      <c r="F223" t="str">
        <f ca="1">VLOOKUP('Master Sheet'!E223,'Code Options'!$A$1:$R$7,4)</f>
        <v>Cyndi</v>
      </c>
      <c r="G223">
        <f t="shared" ca="1" si="36"/>
        <v>2</v>
      </c>
      <c r="H223" t="str">
        <f ca="1">VLOOKUP('Master Sheet'!E223,'Code Options'!$A$1:$R$7,5)</f>
        <v>Cyndi</v>
      </c>
      <c r="I223">
        <f t="shared" ca="1" si="37"/>
        <v>4</v>
      </c>
      <c r="J223" t="str">
        <f ca="1">VLOOKUP('Master Sheet'!G223,'Code Options'!$A$1:$R$7,6)</f>
        <v>State</v>
      </c>
      <c r="K223">
        <f t="shared" ca="1" si="38"/>
        <v>2</v>
      </c>
      <c r="L223" t="str">
        <f ca="1">VLOOKUP('Master Sheet'!I223,'Code Options'!$A$1:$R$7,7)</f>
        <v>Biodiversity</v>
      </c>
      <c r="M223">
        <f t="shared" ca="1" si="39"/>
        <v>5</v>
      </c>
      <c r="N223" t="str">
        <f ca="1">VLOOKUP('Master Sheet'!K223,'Code Options'!$A$1:$R$7,8)</f>
        <v>Comm.Fish.Mngmt</v>
      </c>
      <c r="O223">
        <f t="shared" ca="1" si="40"/>
        <v>3</v>
      </c>
      <c r="P223" t="str">
        <f ca="1">VLOOKUP('Master Sheet'!E223,'Code Options'!$A$1:$R$7,9)</f>
        <v>Fed_Code</v>
      </c>
      <c r="Q223" cm="1">
        <f t="array" aca="1" ref="Q223" ca="1">_xlfn.IFS(P223 ="State_Plan", RANDBETWEEN(1,23), P223 ="State_Code", RANDBETWEEN(1,23), P223 = "Fed_Code", 99, P223 = "Summ_Article", 999, P223 = "Guide", 999)</f>
        <v>99</v>
      </c>
      <c r="R223" t="str">
        <f ca="1">VLOOKUP(Q223,'States and Locations'!$A$1:$B$26,2)</f>
        <v>National</v>
      </c>
      <c r="S223">
        <f ca="1">VLOOKUP(Q223,'States and Locations'!$A$1:$D$26,3)</f>
        <v>39.833300000000001</v>
      </c>
      <c r="T223">
        <f ca="1">VLOOKUP(Q223,'States and Locations'!$A$1:$D$26,4)</f>
        <v>-98.583299999999994</v>
      </c>
      <c r="U223">
        <f t="shared" ca="1" si="41"/>
        <v>3</v>
      </c>
      <c r="V223" t="str">
        <f ca="1">VLOOKUP('Master Sheet'!E223,'Code Options'!$A$1:$R$7,10)</f>
        <v>Disposal</v>
      </c>
      <c r="W223">
        <f t="shared" ca="1" si="42"/>
        <v>4</v>
      </c>
      <c r="X223" t="str">
        <f ca="1">VLOOKUP('Master Sheet'!E223,'Code Options'!$A$1:$R$7,11)</f>
        <v>Comm_Fish</v>
      </c>
      <c r="Y223">
        <f t="shared" ca="1" si="43"/>
        <v>3</v>
      </c>
      <c r="Z223" t="str">
        <f ca="1">VLOOKUP('Master Sheet'!E223,'Code Options'!$A$1:$R$7,12)</f>
        <v>AS_constructors</v>
      </c>
    </row>
    <row r="224" spans="1:26" x14ac:dyDescent="0.2">
      <c r="A224">
        <f t="shared" ca="1" si="33"/>
        <v>3</v>
      </c>
      <c r="B224" t="str">
        <f ca="1">VLOOKUP('Master Sheet'!A224,'Code Options'!$A$1:$B$7,2)</f>
        <v>Metal</v>
      </c>
      <c r="C224">
        <f t="shared" ca="1" si="34"/>
        <v>3</v>
      </c>
      <c r="D224" t="str">
        <f ca="1">VLOOKUP('Master Sheet'!C224,'Code Options'!$A$1:$R$7,3)</f>
        <v>Unsure</v>
      </c>
      <c r="E224">
        <f t="shared" ca="1" si="35"/>
        <v>3</v>
      </c>
      <c r="F224" t="str">
        <f ca="1">VLOOKUP('Master Sheet'!E224,'Code Options'!$A$1:$R$7,4)</f>
        <v>Jon</v>
      </c>
      <c r="G224">
        <f t="shared" ca="1" si="36"/>
        <v>2</v>
      </c>
      <c r="H224" t="str">
        <f ca="1">VLOOKUP('Master Sheet'!E224,'Code Options'!$A$1:$R$7,5)</f>
        <v>Nick</v>
      </c>
      <c r="I224">
        <f t="shared" ca="1" si="37"/>
        <v>3</v>
      </c>
      <c r="J224" t="str">
        <f ca="1">VLOOKUP('Master Sheet'!G224,'Code Options'!$A$1:$R$7,6)</f>
        <v>State</v>
      </c>
      <c r="K224">
        <f t="shared" ca="1" si="38"/>
        <v>2</v>
      </c>
      <c r="L224" t="str">
        <f ca="1">VLOOKUP('Master Sheet'!I224,'Code Options'!$A$1:$R$7,7)</f>
        <v>Aggregation</v>
      </c>
      <c r="M224">
        <f t="shared" ca="1" si="39"/>
        <v>3</v>
      </c>
      <c r="N224" t="str">
        <f ca="1">VLOOKUP('Master Sheet'!K224,'Code Options'!$A$1:$R$7,8)</f>
        <v>Comm.Fish.Mngmt</v>
      </c>
      <c r="O224">
        <f t="shared" ca="1" si="40"/>
        <v>2</v>
      </c>
      <c r="P224" t="str">
        <f ca="1">VLOOKUP('Master Sheet'!E224,'Code Options'!$A$1:$R$7,9)</f>
        <v>State_Plan</v>
      </c>
      <c r="Q224" cm="1">
        <f t="array" aca="1" ref="Q224" ca="1">_xlfn.IFS(P224 ="State_Plan", RANDBETWEEN(1,23), P224 ="State_Code", RANDBETWEEN(1,23), P224 = "Fed_Code", 99, P224 = "Summ_Article", 999, P224 = "Guide", 999)</f>
        <v>15</v>
      </c>
      <c r="R224" t="str">
        <f ca="1">VLOOKUP(Q224,'States and Locations'!$A$1:$B$26,2)</f>
        <v>Texas</v>
      </c>
      <c r="S224">
        <f ca="1">VLOOKUP(Q224,'States and Locations'!$A$1:$D$26,3)</f>
        <v>31.466699999999999</v>
      </c>
      <c r="T224">
        <f ca="1">VLOOKUP(Q224,'States and Locations'!$A$1:$D$26,4)</f>
        <v>-99.333299999999994</v>
      </c>
      <c r="U224">
        <f t="shared" ca="1" si="41"/>
        <v>4</v>
      </c>
      <c r="V224" t="str">
        <f ca="1">VLOOKUP('Master Sheet'!E224,'Code Options'!$A$1:$R$7,10)</f>
        <v>Mitig.</v>
      </c>
      <c r="W224">
        <f t="shared" ca="1" si="42"/>
        <v>4</v>
      </c>
      <c r="X224" t="str">
        <f ca="1">VLOOKUP('Master Sheet'!E224,'Code Options'!$A$1:$R$7,11)</f>
        <v>Chart_Fish</v>
      </c>
      <c r="Y224">
        <f t="shared" ca="1" si="43"/>
        <v>3</v>
      </c>
      <c r="Z224" t="str">
        <f ca="1">VLOOKUP('Master Sheet'!E224,'Code Options'!$A$1:$R$7,12)</f>
        <v>Permit_reg_agencies</v>
      </c>
    </row>
    <row r="225" spans="1:26" x14ac:dyDescent="0.2">
      <c r="A225">
        <f t="shared" ca="1" si="33"/>
        <v>5</v>
      </c>
      <c r="B225" t="str">
        <f ca="1">VLOOKUP('Master Sheet'!A225,'Code Options'!$A$1:$B$7,2)</f>
        <v>Rock</v>
      </c>
      <c r="C225">
        <f t="shared" ca="1" si="34"/>
        <v>3</v>
      </c>
      <c r="D225" t="str">
        <f ca="1">VLOOKUP('Master Sheet'!C225,'Code Options'!$A$1:$R$7,3)</f>
        <v>Unsure</v>
      </c>
      <c r="E225">
        <f t="shared" ca="1" si="35"/>
        <v>5</v>
      </c>
      <c r="F225" t="str">
        <f ca="1">VLOOKUP('Master Sheet'!E225,'Code Options'!$A$1:$R$7,4)</f>
        <v>Nick</v>
      </c>
      <c r="G225">
        <f t="shared" ca="1" si="36"/>
        <v>2</v>
      </c>
      <c r="H225">
        <f ca="1">VLOOKUP('Master Sheet'!E225,'Code Options'!$A$1:$R$7,5)</f>
        <v>0</v>
      </c>
      <c r="I225">
        <f t="shared" ca="1" si="37"/>
        <v>3</v>
      </c>
      <c r="J225" t="str">
        <f ca="1">VLOOKUP('Master Sheet'!G225,'Code Options'!$A$1:$R$7,6)</f>
        <v>State</v>
      </c>
      <c r="K225">
        <f t="shared" ca="1" si="38"/>
        <v>3</v>
      </c>
      <c r="L225" t="str">
        <f ca="1">VLOOKUP('Master Sheet'!I225,'Code Options'!$A$1:$R$7,7)</f>
        <v>Aggregation</v>
      </c>
      <c r="M225">
        <f t="shared" ca="1" si="39"/>
        <v>5</v>
      </c>
      <c r="N225" t="str">
        <f ca="1">VLOOKUP('Master Sheet'!K225,'Code Options'!$A$1:$R$7,8)</f>
        <v>Rec.Fish.Mngmt</v>
      </c>
      <c r="O225">
        <f t="shared" ca="1" si="40"/>
        <v>2</v>
      </c>
      <c r="P225" t="str">
        <f ca="1">VLOOKUP('Master Sheet'!E225,'Code Options'!$A$1:$R$7,9)</f>
        <v>Guide</v>
      </c>
      <c r="Q225" cm="1">
        <f t="array" aca="1" ref="Q225" ca="1">_xlfn.IFS(P225 ="State_Plan", RANDBETWEEN(1,23), P225 ="State_Code", RANDBETWEEN(1,23), P225 = "Fed_Code", 99, P225 = "Summ_Article", 999, P225 = "Guide", 999)</f>
        <v>999</v>
      </c>
      <c r="R225" t="str">
        <f ca="1">VLOOKUP(Q225,'States and Locations'!$A$1:$B$26,2)</f>
        <v>UNK</v>
      </c>
      <c r="S225">
        <f ca="1">VLOOKUP(Q225,'States and Locations'!$A$1:$D$26,3)</f>
        <v>25</v>
      </c>
      <c r="T225">
        <f ca="1">VLOOKUP(Q225,'States and Locations'!$A$1:$D$26,4)</f>
        <v>-90</v>
      </c>
      <c r="U225">
        <f t="shared" ca="1" si="41"/>
        <v>3</v>
      </c>
      <c r="V225" t="str">
        <f ca="1">VLOOKUP('Master Sheet'!E225,'Code Options'!$A$1:$R$7,10)</f>
        <v>Wave_attenuation</v>
      </c>
      <c r="W225">
        <f t="shared" ca="1" si="42"/>
        <v>4</v>
      </c>
      <c r="X225" t="str">
        <f ca="1">VLOOKUP('Master Sheet'!E225,'Code Options'!$A$1:$R$7,11)</f>
        <v>Scuba</v>
      </c>
      <c r="Y225">
        <f t="shared" ca="1" si="43"/>
        <v>3</v>
      </c>
      <c r="Z225" t="str">
        <f ca="1">VLOOKUP('Master Sheet'!E225,'Code Options'!$A$1:$R$7,12)</f>
        <v>anglers</v>
      </c>
    </row>
    <row r="226" spans="1:26" x14ac:dyDescent="0.2">
      <c r="A226">
        <f t="shared" ca="1" si="33"/>
        <v>5</v>
      </c>
      <c r="B226" t="str">
        <f ca="1">VLOOKUP('Master Sheet'!A226,'Code Options'!$A$1:$B$7,2)</f>
        <v>Rock</v>
      </c>
      <c r="C226">
        <f t="shared" ca="1" si="34"/>
        <v>1</v>
      </c>
      <c r="D226" t="str">
        <f ca="1">VLOOKUP('Master Sheet'!C226,'Code Options'!$A$1:$R$7,3)</f>
        <v>Retro</v>
      </c>
      <c r="E226">
        <f t="shared" ca="1" si="35"/>
        <v>1</v>
      </c>
      <c r="F226" t="str">
        <f ca="1">VLOOKUP('Master Sheet'!E226,'Code Options'!$A$1:$R$7,4)</f>
        <v>Will</v>
      </c>
      <c r="G226">
        <f t="shared" ca="1" si="36"/>
        <v>2</v>
      </c>
      <c r="H226" t="str">
        <f ca="1">VLOOKUP('Master Sheet'!E226,'Code Options'!$A$1:$R$7,5)</f>
        <v>Will</v>
      </c>
      <c r="I226">
        <f t="shared" ca="1" si="37"/>
        <v>3</v>
      </c>
      <c r="J226" t="str">
        <f ca="1">VLOOKUP('Master Sheet'!G226,'Code Options'!$A$1:$R$7,6)</f>
        <v>State</v>
      </c>
      <c r="K226">
        <f t="shared" ca="1" si="38"/>
        <v>2</v>
      </c>
      <c r="L226" t="str">
        <f ca="1">VLOOKUP('Master Sheet'!I226,'Code Options'!$A$1:$R$7,7)</f>
        <v>Aggregation</v>
      </c>
      <c r="M226">
        <f t="shared" ca="1" si="39"/>
        <v>1</v>
      </c>
      <c r="N226" t="str">
        <f ca="1">VLOOKUP('Master Sheet'!K226,'Code Options'!$A$1:$R$7,8)</f>
        <v>Comm.Fish.Mngmt</v>
      </c>
      <c r="O226">
        <f t="shared" ca="1" si="40"/>
        <v>1</v>
      </c>
      <c r="P226" t="str">
        <f ca="1">VLOOKUP('Master Sheet'!E226,'Code Options'!$A$1:$R$7,9)</f>
        <v>State_Code</v>
      </c>
      <c r="Q226" cm="1">
        <f t="array" aca="1" ref="Q226" ca="1">_xlfn.IFS(P226 ="State_Plan", RANDBETWEEN(1,23), P226 ="State_Code", RANDBETWEEN(1,23), P226 = "Fed_Code", 99, P226 = "Summ_Article", 999, P226 = "Guide", 999)</f>
        <v>12</v>
      </c>
      <c r="R226" t="str">
        <f ca="1">VLOOKUP(Q226,'States and Locations'!$A$1:$B$26,2)</f>
        <v>South Carolina</v>
      </c>
      <c r="S226">
        <f ca="1">VLOOKUP(Q226,'States and Locations'!$A$1:$D$26,3)</f>
        <v>33.833300000000001</v>
      </c>
      <c r="T226">
        <f ca="1">VLOOKUP(Q226,'States and Locations'!$A$1:$D$26,4)</f>
        <v>-81.166700000000006</v>
      </c>
      <c r="U226">
        <f t="shared" ca="1" si="41"/>
        <v>4</v>
      </c>
      <c r="V226" t="str">
        <f ca="1">VLOOKUP('Master Sheet'!E226,'Code Options'!$A$1:$R$7,10)</f>
        <v>Hab_enhancement</v>
      </c>
      <c r="W226">
        <f t="shared" ca="1" si="42"/>
        <v>4</v>
      </c>
      <c r="X226" t="str">
        <f ca="1">VLOOKUP('Master Sheet'!E226,'Code Options'!$A$1:$R$7,11)</f>
        <v>Rec_Fish</v>
      </c>
      <c r="Y226">
        <f t="shared" ca="1" si="43"/>
        <v>3</v>
      </c>
      <c r="Z226" t="str">
        <f ca="1">VLOOKUP('Master Sheet'!E226,'Code Options'!$A$1:$R$7,12)</f>
        <v>AR_proj_plan_mngrs</v>
      </c>
    </row>
    <row r="227" spans="1:26" x14ac:dyDescent="0.2">
      <c r="A227">
        <f t="shared" ca="1" si="33"/>
        <v>5</v>
      </c>
      <c r="B227" t="str">
        <f ca="1">VLOOKUP('Master Sheet'!A227,'Code Options'!$A$1:$B$7,2)</f>
        <v>Rock</v>
      </c>
      <c r="C227">
        <f t="shared" ca="1" si="34"/>
        <v>2</v>
      </c>
      <c r="D227" t="str">
        <f ca="1">VLOOKUP('Master Sheet'!C227,'Code Options'!$A$1:$R$7,3)</f>
        <v>Pro</v>
      </c>
      <c r="E227">
        <f t="shared" ca="1" si="35"/>
        <v>2</v>
      </c>
      <c r="F227" t="str">
        <f ca="1">VLOOKUP('Master Sheet'!E227,'Code Options'!$A$1:$R$7,4)</f>
        <v>Cyndi</v>
      </c>
      <c r="G227">
        <f t="shared" ca="1" si="36"/>
        <v>3</v>
      </c>
      <c r="H227" t="str">
        <f ca="1">VLOOKUP('Master Sheet'!E227,'Code Options'!$A$1:$R$7,5)</f>
        <v>Cyndi</v>
      </c>
      <c r="I227">
        <f t="shared" ca="1" si="37"/>
        <v>2</v>
      </c>
      <c r="J227" t="str">
        <f ca="1">VLOOKUP('Master Sheet'!G227,'Code Options'!$A$1:$R$7,6)</f>
        <v>Regional</v>
      </c>
      <c r="K227">
        <f t="shared" ca="1" si="38"/>
        <v>2</v>
      </c>
      <c r="L227" t="str">
        <f ca="1">VLOOKUP('Master Sheet'!I227,'Code Options'!$A$1:$R$7,7)</f>
        <v>Production</v>
      </c>
      <c r="M227">
        <f t="shared" ca="1" si="39"/>
        <v>5</v>
      </c>
      <c r="N227" t="str">
        <f ca="1">VLOOKUP('Master Sheet'!K227,'Code Options'!$A$1:$R$7,8)</f>
        <v>Comm.Fish.Mngmt</v>
      </c>
      <c r="O227">
        <f t="shared" ca="1" si="40"/>
        <v>3</v>
      </c>
      <c r="P227" t="str">
        <f ca="1">VLOOKUP('Master Sheet'!E227,'Code Options'!$A$1:$R$7,9)</f>
        <v>Fed_Code</v>
      </c>
      <c r="Q227" cm="1">
        <f t="array" aca="1" ref="Q227" ca="1">_xlfn.IFS(P227 ="State_Plan", RANDBETWEEN(1,23), P227 ="State_Code", RANDBETWEEN(1,23), P227 = "Fed_Code", 99, P227 = "Summ_Article", 999, P227 = "Guide", 999)</f>
        <v>99</v>
      </c>
      <c r="R227" t="str">
        <f ca="1">VLOOKUP(Q227,'States and Locations'!$A$1:$B$26,2)</f>
        <v>National</v>
      </c>
      <c r="S227">
        <f ca="1">VLOOKUP(Q227,'States and Locations'!$A$1:$D$26,3)</f>
        <v>39.833300000000001</v>
      </c>
      <c r="T227">
        <f ca="1">VLOOKUP(Q227,'States and Locations'!$A$1:$D$26,4)</f>
        <v>-98.583299999999994</v>
      </c>
      <c r="U227">
        <f t="shared" ca="1" si="41"/>
        <v>3</v>
      </c>
      <c r="V227" t="str">
        <f ca="1">VLOOKUP('Master Sheet'!E227,'Code Options'!$A$1:$R$7,10)</f>
        <v>Disposal</v>
      </c>
      <c r="W227">
        <f t="shared" ca="1" si="42"/>
        <v>1</v>
      </c>
      <c r="X227" t="str">
        <f ca="1">VLOOKUP('Master Sheet'!E227,'Code Options'!$A$1:$R$7,11)</f>
        <v>Comm_Fish</v>
      </c>
      <c r="Y227">
        <f t="shared" ca="1" si="43"/>
        <v>3</v>
      </c>
      <c r="Z227" t="str">
        <f ca="1">VLOOKUP('Master Sheet'!E227,'Code Options'!$A$1:$R$7,12)</f>
        <v>AS_constructors</v>
      </c>
    </row>
    <row r="228" spans="1:26" x14ac:dyDescent="0.2">
      <c r="A228">
        <f t="shared" ca="1" si="33"/>
        <v>6</v>
      </c>
      <c r="B228" t="str">
        <f ca="1">VLOOKUP('Master Sheet'!A228,'Code Options'!$A$1:$B$7,2)</f>
        <v>Tires/Rubber</v>
      </c>
      <c r="C228">
        <f t="shared" ca="1" si="34"/>
        <v>2</v>
      </c>
      <c r="D228" t="str">
        <f ca="1">VLOOKUP('Master Sheet'!C228,'Code Options'!$A$1:$R$7,3)</f>
        <v>Pro</v>
      </c>
      <c r="E228">
        <f t="shared" ca="1" si="35"/>
        <v>2</v>
      </c>
      <c r="F228" t="str">
        <f ca="1">VLOOKUP('Master Sheet'!E228,'Code Options'!$A$1:$R$7,4)</f>
        <v>Cyndi</v>
      </c>
      <c r="G228">
        <f t="shared" ca="1" si="36"/>
        <v>2</v>
      </c>
      <c r="H228" t="str">
        <f ca="1">VLOOKUP('Master Sheet'!E228,'Code Options'!$A$1:$R$7,5)</f>
        <v>Cyndi</v>
      </c>
      <c r="I228">
        <f t="shared" ca="1" si="37"/>
        <v>1</v>
      </c>
      <c r="J228" t="str">
        <f ca="1">VLOOKUP('Master Sheet'!G228,'Code Options'!$A$1:$R$7,6)</f>
        <v>State</v>
      </c>
      <c r="K228">
        <f t="shared" ca="1" si="38"/>
        <v>3</v>
      </c>
      <c r="L228" t="str">
        <f ca="1">VLOOKUP('Master Sheet'!I228,'Code Options'!$A$1:$R$7,7)</f>
        <v>Habitat</v>
      </c>
      <c r="M228">
        <f t="shared" ca="1" si="39"/>
        <v>4</v>
      </c>
      <c r="N228" t="str">
        <f ca="1">VLOOKUP('Master Sheet'!K228,'Code Options'!$A$1:$R$7,8)</f>
        <v>Rec.Fish.Mngmt</v>
      </c>
      <c r="O228">
        <f t="shared" ca="1" si="40"/>
        <v>4</v>
      </c>
      <c r="P228" t="str">
        <f ca="1">VLOOKUP('Master Sheet'!E228,'Code Options'!$A$1:$R$7,9)</f>
        <v>Fed_Code</v>
      </c>
      <c r="Q228" cm="1">
        <f t="array" aca="1" ref="Q228" ca="1">_xlfn.IFS(P228 ="State_Plan", RANDBETWEEN(1,23), P228 ="State_Code", RANDBETWEEN(1,23), P228 = "Fed_Code", 99, P228 = "Summ_Article", 999, P228 = "Guide", 999)</f>
        <v>99</v>
      </c>
      <c r="R228" t="str">
        <f ca="1">VLOOKUP(Q228,'States and Locations'!$A$1:$B$26,2)</f>
        <v>National</v>
      </c>
      <c r="S228">
        <f ca="1">VLOOKUP(Q228,'States and Locations'!$A$1:$D$26,3)</f>
        <v>39.833300000000001</v>
      </c>
      <c r="T228">
        <f ca="1">VLOOKUP(Q228,'States and Locations'!$A$1:$D$26,4)</f>
        <v>-98.583299999999994</v>
      </c>
      <c r="U228">
        <f t="shared" ca="1" si="41"/>
        <v>2</v>
      </c>
      <c r="V228" t="str">
        <f ca="1">VLOOKUP('Master Sheet'!E228,'Code Options'!$A$1:$R$7,10)</f>
        <v>Disposal</v>
      </c>
      <c r="W228">
        <f t="shared" ca="1" si="42"/>
        <v>1</v>
      </c>
      <c r="X228" t="str">
        <f ca="1">VLOOKUP('Master Sheet'!E228,'Code Options'!$A$1:$R$7,11)</f>
        <v>Comm_Fish</v>
      </c>
      <c r="Y228">
        <f t="shared" ca="1" si="43"/>
        <v>4</v>
      </c>
      <c r="Z228" t="str">
        <f ca="1">VLOOKUP('Master Sheet'!E228,'Code Options'!$A$1:$R$7,12)</f>
        <v>AS_constructors</v>
      </c>
    </row>
    <row r="229" spans="1:26" x14ac:dyDescent="0.2">
      <c r="A229">
        <f t="shared" ca="1" si="33"/>
        <v>4</v>
      </c>
      <c r="B229" t="str">
        <f ca="1">VLOOKUP('Master Sheet'!A229,'Code Options'!$A$1:$B$7,2)</f>
        <v>Other</v>
      </c>
      <c r="C229">
        <f t="shared" ca="1" si="34"/>
        <v>1</v>
      </c>
      <c r="D229" t="str">
        <f ca="1">VLOOKUP('Master Sheet'!C229,'Code Options'!$A$1:$R$7,3)</f>
        <v>Retro</v>
      </c>
      <c r="E229">
        <f t="shared" ca="1" si="35"/>
        <v>1</v>
      </c>
      <c r="F229" t="str">
        <f ca="1">VLOOKUP('Master Sheet'!E229,'Code Options'!$A$1:$R$7,4)</f>
        <v>Will</v>
      </c>
      <c r="G229">
        <f t="shared" ca="1" si="36"/>
        <v>2</v>
      </c>
      <c r="H229" t="str">
        <f ca="1">VLOOKUP('Master Sheet'!E229,'Code Options'!$A$1:$R$7,5)</f>
        <v>Will</v>
      </c>
      <c r="I229">
        <f t="shared" ca="1" si="37"/>
        <v>4</v>
      </c>
      <c r="J229" t="str">
        <f ca="1">VLOOKUP('Master Sheet'!G229,'Code Options'!$A$1:$R$7,6)</f>
        <v>State</v>
      </c>
      <c r="K229">
        <f t="shared" ca="1" si="38"/>
        <v>1</v>
      </c>
      <c r="L229" t="str">
        <f ca="1">VLOOKUP('Master Sheet'!I229,'Code Options'!$A$1:$R$7,7)</f>
        <v>Biodiversity</v>
      </c>
      <c r="M229">
        <f t="shared" ca="1" si="39"/>
        <v>2</v>
      </c>
      <c r="N229" t="str">
        <f ca="1">VLOOKUP('Master Sheet'!K229,'Code Options'!$A$1:$R$7,8)</f>
        <v>Fish.Enhancement</v>
      </c>
      <c r="O229">
        <f t="shared" ca="1" si="40"/>
        <v>5</v>
      </c>
      <c r="P229" t="str">
        <f ca="1">VLOOKUP('Master Sheet'!E229,'Code Options'!$A$1:$R$7,9)</f>
        <v>State_Code</v>
      </c>
      <c r="Q229" cm="1">
        <f t="array" aca="1" ref="Q229" ca="1">_xlfn.IFS(P229 ="State_Plan", RANDBETWEEN(1,23), P229 ="State_Code", RANDBETWEEN(1,23), P229 = "Fed_Code", 99, P229 = "Summ_Article", 999, P229 = "Guide", 999)</f>
        <v>9</v>
      </c>
      <c r="R229" t="str">
        <f ca="1">VLOOKUP(Q229,'States and Locations'!$A$1:$B$26,2)</f>
        <v>Maryland</v>
      </c>
      <c r="S229">
        <f ca="1">VLOOKUP(Q229,'States and Locations'!$A$1:$D$26,3)</f>
        <v>39.049999999999997</v>
      </c>
      <c r="T229">
        <f ca="1">VLOOKUP(Q229,'States and Locations'!$A$1:$D$26,4)</f>
        <v>-76.633300000000006</v>
      </c>
      <c r="U229">
        <f t="shared" ca="1" si="41"/>
        <v>5</v>
      </c>
      <c r="V229" t="str">
        <f ca="1">VLOOKUP('Master Sheet'!E229,'Code Options'!$A$1:$R$7,10)</f>
        <v>Hab_enhancement</v>
      </c>
      <c r="W229">
        <f t="shared" ca="1" si="42"/>
        <v>1</v>
      </c>
      <c r="X229" t="str">
        <f ca="1">VLOOKUP('Master Sheet'!E229,'Code Options'!$A$1:$R$7,11)</f>
        <v>Rec_Fish</v>
      </c>
      <c r="Y229">
        <f t="shared" ca="1" si="43"/>
        <v>3</v>
      </c>
      <c r="Z229" t="str">
        <f ca="1">VLOOKUP('Master Sheet'!E229,'Code Options'!$A$1:$R$7,12)</f>
        <v>AR_proj_plan_mngrs</v>
      </c>
    </row>
    <row r="230" spans="1:26" x14ac:dyDescent="0.2">
      <c r="A230">
        <f t="shared" ca="1" si="33"/>
        <v>2</v>
      </c>
      <c r="B230" t="str">
        <f ca="1">VLOOKUP('Master Sheet'!A230,'Code Options'!$A$1:$B$7,2)</f>
        <v>Concrete</v>
      </c>
      <c r="C230">
        <f t="shared" ca="1" si="34"/>
        <v>2</v>
      </c>
      <c r="D230" t="str">
        <f ca="1">VLOOKUP('Master Sheet'!C230,'Code Options'!$A$1:$R$7,3)</f>
        <v>Pro</v>
      </c>
      <c r="E230">
        <f t="shared" ca="1" si="35"/>
        <v>3</v>
      </c>
      <c r="F230" t="str">
        <f ca="1">VLOOKUP('Master Sheet'!E230,'Code Options'!$A$1:$R$7,4)</f>
        <v>Jon</v>
      </c>
      <c r="G230">
        <f t="shared" ca="1" si="36"/>
        <v>3</v>
      </c>
      <c r="H230" t="str">
        <f ca="1">VLOOKUP('Master Sheet'!E230,'Code Options'!$A$1:$R$7,5)</f>
        <v>Nick</v>
      </c>
      <c r="I230">
        <f t="shared" ca="1" si="37"/>
        <v>2</v>
      </c>
      <c r="J230" t="str">
        <f ca="1">VLOOKUP('Master Sheet'!G230,'Code Options'!$A$1:$R$7,6)</f>
        <v>Regional</v>
      </c>
      <c r="K230">
        <f t="shared" ca="1" si="38"/>
        <v>4</v>
      </c>
      <c r="L230" t="str">
        <f ca="1">VLOOKUP('Master Sheet'!I230,'Code Options'!$A$1:$R$7,7)</f>
        <v>Production</v>
      </c>
      <c r="M230">
        <f t="shared" ca="1" si="39"/>
        <v>2</v>
      </c>
      <c r="N230" t="str">
        <f ca="1">VLOOKUP('Master Sheet'!K230,'Code Options'!$A$1:$R$7,8)</f>
        <v>Creation of AR Mat</v>
      </c>
      <c r="O230">
        <f t="shared" ca="1" si="40"/>
        <v>5</v>
      </c>
      <c r="P230" t="str">
        <f ca="1">VLOOKUP('Master Sheet'!E230,'Code Options'!$A$1:$R$7,9)</f>
        <v>State_Plan</v>
      </c>
      <c r="Q230" cm="1">
        <f t="array" aca="1" ref="Q230" ca="1">_xlfn.IFS(P230 ="State_Plan", RANDBETWEEN(1,23), P230 ="State_Code", RANDBETWEEN(1,23), P230 = "Fed_Code", 99, P230 = "Summ_Article", 999, P230 = "Guide", 999)</f>
        <v>3</v>
      </c>
      <c r="R230" t="str">
        <f ca="1">VLOOKUP(Q230,'States and Locations'!$A$1:$B$26,2)</f>
        <v>Massachussetts</v>
      </c>
      <c r="S230">
        <f ca="1">VLOOKUP(Q230,'States and Locations'!$A$1:$D$26,3)</f>
        <v>42.4</v>
      </c>
      <c r="T230">
        <f ca="1">VLOOKUP(Q230,'States and Locations'!$A$1:$D$26,4)</f>
        <v>-71.383300000000006</v>
      </c>
      <c r="U230">
        <f t="shared" ca="1" si="41"/>
        <v>1</v>
      </c>
      <c r="V230" t="str">
        <f ca="1">VLOOKUP('Master Sheet'!E230,'Code Options'!$A$1:$R$7,10)</f>
        <v>Mitig.</v>
      </c>
      <c r="W230">
        <f t="shared" ca="1" si="42"/>
        <v>3</v>
      </c>
      <c r="X230" t="str">
        <f ca="1">VLOOKUP('Master Sheet'!E230,'Code Options'!$A$1:$R$7,11)</f>
        <v>Chart_Fish</v>
      </c>
      <c r="Y230">
        <f t="shared" ca="1" si="43"/>
        <v>1</v>
      </c>
      <c r="Z230" t="str">
        <f ca="1">VLOOKUP('Master Sheet'!E230,'Code Options'!$A$1:$R$7,12)</f>
        <v>Permit_reg_agencies</v>
      </c>
    </row>
    <row r="231" spans="1:26" x14ac:dyDescent="0.2">
      <c r="A231">
        <f t="shared" ca="1" si="33"/>
        <v>1</v>
      </c>
      <c r="B231" t="str">
        <f ca="1">VLOOKUP('Master Sheet'!A231,'Code Options'!$A$1:$B$7,2)</f>
        <v>Composite</v>
      </c>
      <c r="C231">
        <f t="shared" ca="1" si="34"/>
        <v>1</v>
      </c>
      <c r="D231" t="str">
        <f ca="1">VLOOKUP('Master Sheet'!C231,'Code Options'!$A$1:$R$7,3)</f>
        <v>Retro</v>
      </c>
      <c r="E231">
        <f t="shared" ca="1" si="35"/>
        <v>1</v>
      </c>
      <c r="F231" t="str">
        <f ca="1">VLOOKUP('Master Sheet'!E231,'Code Options'!$A$1:$R$7,4)</f>
        <v>Will</v>
      </c>
      <c r="G231">
        <f t="shared" ca="1" si="36"/>
        <v>3</v>
      </c>
      <c r="H231" t="str">
        <f ca="1">VLOOKUP('Master Sheet'!E231,'Code Options'!$A$1:$R$7,5)</f>
        <v>Will</v>
      </c>
      <c r="I231">
        <f t="shared" ca="1" si="37"/>
        <v>4</v>
      </c>
      <c r="J231" t="str">
        <f ca="1">VLOOKUP('Master Sheet'!G231,'Code Options'!$A$1:$R$7,6)</f>
        <v>Regional</v>
      </c>
      <c r="K231">
        <f t="shared" ca="1" si="38"/>
        <v>2</v>
      </c>
      <c r="L231" t="str">
        <f ca="1">VLOOKUP('Master Sheet'!I231,'Code Options'!$A$1:$R$7,7)</f>
        <v>Biodiversity</v>
      </c>
      <c r="M231">
        <f t="shared" ca="1" si="39"/>
        <v>2</v>
      </c>
      <c r="N231" t="str">
        <f ca="1">VLOOKUP('Master Sheet'!K231,'Code Options'!$A$1:$R$7,8)</f>
        <v>Comm.Fish.Mngmt</v>
      </c>
      <c r="O231">
        <f t="shared" ca="1" si="40"/>
        <v>2</v>
      </c>
      <c r="P231" t="str">
        <f ca="1">VLOOKUP('Master Sheet'!E231,'Code Options'!$A$1:$R$7,9)</f>
        <v>State_Code</v>
      </c>
      <c r="Q231" cm="1">
        <f t="array" aca="1" ref="Q231" ca="1">_xlfn.IFS(P231 ="State_Plan", RANDBETWEEN(1,23), P231 ="State_Code", RANDBETWEEN(1,23), P231 = "Fed_Code", 99, P231 = "Summ_Article", 999, P231 = "Guide", 999)</f>
        <v>9</v>
      </c>
      <c r="R231" t="str">
        <f ca="1">VLOOKUP(Q231,'States and Locations'!$A$1:$B$26,2)</f>
        <v>Maryland</v>
      </c>
      <c r="S231">
        <f ca="1">VLOOKUP(Q231,'States and Locations'!$A$1:$D$26,3)</f>
        <v>39.049999999999997</v>
      </c>
      <c r="T231">
        <f ca="1">VLOOKUP(Q231,'States and Locations'!$A$1:$D$26,4)</f>
        <v>-76.633300000000006</v>
      </c>
      <c r="U231">
        <f t="shared" ca="1" si="41"/>
        <v>3</v>
      </c>
      <c r="V231" t="str">
        <f ca="1">VLOOKUP('Master Sheet'!E231,'Code Options'!$A$1:$R$7,10)</f>
        <v>Hab_enhancement</v>
      </c>
      <c r="W231">
        <f t="shared" ca="1" si="42"/>
        <v>3</v>
      </c>
      <c r="X231" t="str">
        <f ca="1">VLOOKUP('Master Sheet'!E231,'Code Options'!$A$1:$R$7,11)</f>
        <v>Rec_Fish</v>
      </c>
      <c r="Y231">
        <f t="shared" ca="1" si="43"/>
        <v>5</v>
      </c>
      <c r="Z231" t="str">
        <f ca="1">VLOOKUP('Master Sheet'!E231,'Code Options'!$A$1:$R$7,12)</f>
        <v>AR_proj_plan_mngrs</v>
      </c>
    </row>
    <row r="232" spans="1:26" x14ac:dyDescent="0.2">
      <c r="A232">
        <f t="shared" ca="1" si="33"/>
        <v>5</v>
      </c>
      <c r="B232" t="str">
        <f ca="1">VLOOKUP('Master Sheet'!A232,'Code Options'!$A$1:$B$7,2)</f>
        <v>Rock</v>
      </c>
      <c r="C232">
        <f t="shared" ca="1" si="34"/>
        <v>1</v>
      </c>
      <c r="D232" t="str">
        <f ca="1">VLOOKUP('Master Sheet'!C232,'Code Options'!$A$1:$R$7,3)</f>
        <v>Retro</v>
      </c>
      <c r="E232">
        <f t="shared" ca="1" si="35"/>
        <v>5</v>
      </c>
      <c r="F232" t="str">
        <f ca="1">VLOOKUP('Master Sheet'!E232,'Code Options'!$A$1:$R$7,4)</f>
        <v>Nick</v>
      </c>
      <c r="G232">
        <f t="shared" ca="1" si="36"/>
        <v>3</v>
      </c>
      <c r="H232">
        <f ca="1">VLOOKUP('Master Sheet'!E232,'Code Options'!$A$1:$R$7,5)</f>
        <v>0</v>
      </c>
      <c r="I232">
        <f t="shared" ca="1" si="37"/>
        <v>4</v>
      </c>
      <c r="J232" t="str">
        <f ca="1">VLOOKUP('Master Sheet'!G232,'Code Options'!$A$1:$R$7,6)</f>
        <v>Regional</v>
      </c>
      <c r="K232">
        <f t="shared" ca="1" si="38"/>
        <v>2</v>
      </c>
      <c r="L232" t="str">
        <f ca="1">VLOOKUP('Master Sheet'!I232,'Code Options'!$A$1:$R$7,7)</f>
        <v>Biodiversity</v>
      </c>
      <c r="M232">
        <f t="shared" ca="1" si="39"/>
        <v>5</v>
      </c>
      <c r="N232" t="str">
        <f ca="1">VLOOKUP('Master Sheet'!K232,'Code Options'!$A$1:$R$7,8)</f>
        <v>Comm.Fish.Mngmt</v>
      </c>
      <c r="O232">
        <f t="shared" ca="1" si="40"/>
        <v>5</v>
      </c>
      <c r="P232" t="str">
        <f ca="1">VLOOKUP('Master Sheet'!E232,'Code Options'!$A$1:$R$7,9)</f>
        <v>Guide</v>
      </c>
      <c r="Q232" cm="1">
        <f t="array" aca="1" ref="Q232" ca="1">_xlfn.IFS(P232 ="State_Plan", RANDBETWEEN(1,23), P232 ="State_Code", RANDBETWEEN(1,23), P232 = "Fed_Code", 99, P232 = "Summ_Article", 999, P232 = "Guide", 999)</f>
        <v>999</v>
      </c>
      <c r="R232" t="str">
        <f ca="1">VLOOKUP(Q232,'States and Locations'!$A$1:$B$26,2)</f>
        <v>UNK</v>
      </c>
      <c r="S232">
        <f ca="1">VLOOKUP(Q232,'States and Locations'!$A$1:$D$26,3)</f>
        <v>25</v>
      </c>
      <c r="T232">
        <f ca="1">VLOOKUP(Q232,'States and Locations'!$A$1:$D$26,4)</f>
        <v>-90</v>
      </c>
      <c r="U232">
        <f t="shared" ca="1" si="41"/>
        <v>3</v>
      </c>
      <c r="V232" t="str">
        <f ca="1">VLOOKUP('Master Sheet'!E232,'Code Options'!$A$1:$R$7,10)</f>
        <v>Wave_attenuation</v>
      </c>
      <c r="W232">
        <f t="shared" ca="1" si="42"/>
        <v>3</v>
      </c>
      <c r="X232" t="str">
        <f ca="1">VLOOKUP('Master Sheet'!E232,'Code Options'!$A$1:$R$7,11)</f>
        <v>Scuba</v>
      </c>
      <c r="Y232">
        <f t="shared" ca="1" si="43"/>
        <v>1</v>
      </c>
      <c r="Z232" t="str">
        <f ca="1">VLOOKUP('Master Sheet'!E232,'Code Options'!$A$1:$R$7,12)</f>
        <v>anglers</v>
      </c>
    </row>
    <row r="233" spans="1:26" x14ac:dyDescent="0.2">
      <c r="A233">
        <f t="shared" ca="1" si="33"/>
        <v>3</v>
      </c>
      <c r="B233" t="str">
        <f ca="1">VLOOKUP('Master Sheet'!A233,'Code Options'!$A$1:$B$7,2)</f>
        <v>Metal</v>
      </c>
      <c r="C233">
        <f t="shared" ca="1" si="34"/>
        <v>2</v>
      </c>
      <c r="D233" t="str">
        <f ca="1">VLOOKUP('Master Sheet'!C233,'Code Options'!$A$1:$R$7,3)</f>
        <v>Pro</v>
      </c>
      <c r="E233">
        <f t="shared" ca="1" si="35"/>
        <v>2</v>
      </c>
      <c r="F233" t="str">
        <f ca="1">VLOOKUP('Master Sheet'!E233,'Code Options'!$A$1:$R$7,4)</f>
        <v>Cyndi</v>
      </c>
      <c r="G233">
        <f t="shared" ca="1" si="36"/>
        <v>1</v>
      </c>
      <c r="H233" t="str">
        <f ca="1">VLOOKUP('Master Sheet'!E233,'Code Options'!$A$1:$R$7,5)</f>
        <v>Cyndi</v>
      </c>
      <c r="I233">
        <f t="shared" ca="1" si="37"/>
        <v>4</v>
      </c>
      <c r="J233" t="str">
        <f ca="1">VLOOKUP('Master Sheet'!G233,'Code Options'!$A$1:$R$7,6)</f>
        <v>County/Local</v>
      </c>
      <c r="K233">
        <f t="shared" ca="1" si="38"/>
        <v>4</v>
      </c>
      <c r="L233" t="str">
        <f ca="1">VLOOKUP('Master Sheet'!I233,'Code Options'!$A$1:$R$7,7)</f>
        <v>Biodiversity</v>
      </c>
      <c r="M233">
        <f t="shared" ca="1" si="39"/>
        <v>4</v>
      </c>
      <c r="N233" t="str">
        <f ca="1">VLOOKUP('Master Sheet'!K233,'Code Options'!$A$1:$R$7,8)</f>
        <v>Creation of AR Mat</v>
      </c>
      <c r="O233">
        <f t="shared" ca="1" si="40"/>
        <v>3</v>
      </c>
      <c r="P233" t="str">
        <f ca="1">VLOOKUP('Master Sheet'!E233,'Code Options'!$A$1:$R$7,9)</f>
        <v>Fed_Code</v>
      </c>
      <c r="Q233" cm="1">
        <f t="array" aca="1" ref="Q233" ca="1">_xlfn.IFS(P233 ="State_Plan", RANDBETWEEN(1,23), P233 ="State_Code", RANDBETWEEN(1,23), P233 = "Fed_Code", 99, P233 = "Summ_Article", 999, P233 = "Guide", 999)</f>
        <v>99</v>
      </c>
      <c r="R233" t="str">
        <f ca="1">VLOOKUP(Q233,'States and Locations'!$A$1:$B$26,2)</f>
        <v>National</v>
      </c>
      <c r="S233">
        <f ca="1">VLOOKUP(Q233,'States and Locations'!$A$1:$D$26,3)</f>
        <v>39.833300000000001</v>
      </c>
      <c r="T233">
        <f ca="1">VLOOKUP(Q233,'States and Locations'!$A$1:$D$26,4)</f>
        <v>-98.583299999999994</v>
      </c>
      <c r="U233">
        <f t="shared" ca="1" si="41"/>
        <v>2</v>
      </c>
      <c r="V233" t="str">
        <f ca="1">VLOOKUP('Master Sheet'!E233,'Code Options'!$A$1:$R$7,10)</f>
        <v>Disposal</v>
      </c>
      <c r="W233">
        <f t="shared" ca="1" si="42"/>
        <v>4</v>
      </c>
      <c r="X233" t="str">
        <f ca="1">VLOOKUP('Master Sheet'!E233,'Code Options'!$A$1:$R$7,11)</f>
        <v>Comm_Fish</v>
      </c>
      <c r="Y233">
        <f t="shared" ca="1" si="43"/>
        <v>2</v>
      </c>
      <c r="Z233" t="str">
        <f ca="1">VLOOKUP('Master Sheet'!E233,'Code Options'!$A$1:$R$7,12)</f>
        <v>AS_constructors</v>
      </c>
    </row>
    <row r="234" spans="1:26" x14ac:dyDescent="0.2">
      <c r="A234">
        <f t="shared" ca="1" si="33"/>
        <v>5</v>
      </c>
      <c r="B234" t="str">
        <f ca="1">VLOOKUP('Master Sheet'!A234,'Code Options'!$A$1:$B$7,2)</f>
        <v>Rock</v>
      </c>
      <c r="C234">
        <f t="shared" ca="1" si="34"/>
        <v>3</v>
      </c>
      <c r="D234" t="str">
        <f ca="1">VLOOKUP('Master Sheet'!C234,'Code Options'!$A$1:$R$7,3)</f>
        <v>Unsure</v>
      </c>
      <c r="E234">
        <f t="shared" ca="1" si="35"/>
        <v>1</v>
      </c>
      <c r="F234" t="str">
        <f ca="1">VLOOKUP('Master Sheet'!E234,'Code Options'!$A$1:$R$7,4)</f>
        <v>Will</v>
      </c>
      <c r="G234">
        <f t="shared" ca="1" si="36"/>
        <v>3</v>
      </c>
      <c r="H234" t="str">
        <f ca="1">VLOOKUP('Master Sheet'!E234,'Code Options'!$A$1:$R$7,5)</f>
        <v>Will</v>
      </c>
      <c r="I234">
        <f t="shared" ca="1" si="37"/>
        <v>3</v>
      </c>
      <c r="J234" t="str">
        <f ca="1">VLOOKUP('Master Sheet'!G234,'Code Options'!$A$1:$R$7,6)</f>
        <v>Regional</v>
      </c>
      <c r="K234">
        <f t="shared" ca="1" si="38"/>
        <v>4</v>
      </c>
      <c r="L234" t="str">
        <f ca="1">VLOOKUP('Master Sheet'!I234,'Code Options'!$A$1:$R$7,7)</f>
        <v>Aggregation</v>
      </c>
      <c r="M234">
        <f t="shared" ca="1" si="39"/>
        <v>5</v>
      </c>
      <c r="N234" t="str">
        <f ca="1">VLOOKUP('Master Sheet'!K234,'Code Options'!$A$1:$R$7,8)</f>
        <v>Creation of AR Mat</v>
      </c>
      <c r="O234">
        <f t="shared" ca="1" si="40"/>
        <v>4</v>
      </c>
      <c r="P234" t="str">
        <f ca="1">VLOOKUP('Master Sheet'!E234,'Code Options'!$A$1:$R$7,9)</f>
        <v>State_Code</v>
      </c>
      <c r="Q234" cm="1">
        <f t="array" aca="1" ref="Q234" ca="1">_xlfn.IFS(P234 ="State_Plan", RANDBETWEEN(1,23), P234 ="State_Code", RANDBETWEEN(1,23), P234 = "Fed_Code", 99, P234 = "Summ_Article", 999, P234 = "Guide", 999)</f>
        <v>18</v>
      </c>
      <c r="R234" t="str">
        <f ca="1">VLOOKUP(Q234,'States and Locations'!$A$1:$B$26,2)</f>
        <v>Alabama</v>
      </c>
      <c r="S234">
        <f ca="1">VLOOKUP(Q234,'States and Locations'!$A$1:$D$26,3)</f>
        <v>32.833300000000001</v>
      </c>
      <c r="T234">
        <f ca="1">VLOOKUP(Q234,'States and Locations'!$A$1:$D$26,4)</f>
        <v>-86.633300000000006</v>
      </c>
      <c r="U234">
        <f t="shared" ca="1" si="41"/>
        <v>1</v>
      </c>
      <c r="V234" t="str">
        <f ca="1">VLOOKUP('Master Sheet'!E234,'Code Options'!$A$1:$R$7,10)</f>
        <v>Hab_enhancement</v>
      </c>
      <c r="W234">
        <f t="shared" ca="1" si="42"/>
        <v>2</v>
      </c>
      <c r="X234" t="str">
        <f ca="1">VLOOKUP('Master Sheet'!E234,'Code Options'!$A$1:$R$7,11)</f>
        <v>Rec_Fish</v>
      </c>
      <c r="Y234">
        <f t="shared" ca="1" si="43"/>
        <v>2</v>
      </c>
      <c r="Z234" t="str">
        <f ca="1">VLOOKUP('Master Sheet'!E234,'Code Options'!$A$1:$R$7,12)</f>
        <v>AR_proj_plan_mngrs</v>
      </c>
    </row>
    <row r="235" spans="1:26" x14ac:dyDescent="0.2">
      <c r="A235">
        <f t="shared" ca="1" si="33"/>
        <v>2</v>
      </c>
      <c r="B235" t="str">
        <f ca="1">VLOOKUP('Master Sheet'!A235,'Code Options'!$A$1:$B$7,2)</f>
        <v>Concrete</v>
      </c>
      <c r="C235">
        <f t="shared" ca="1" si="34"/>
        <v>2</v>
      </c>
      <c r="D235" t="str">
        <f ca="1">VLOOKUP('Master Sheet'!C235,'Code Options'!$A$1:$R$7,3)</f>
        <v>Pro</v>
      </c>
      <c r="E235">
        <f t="shared" ca="1" si="35"/>
        <v>5</v>
      </c>
      <c r="F235" t="str">
        <f ca="1">VLOOKUP('Master Sheet'!E235,'Code Options'!$A$1:$R$7,4)</f>
        <v>Nick</v>
      </c>
      <c r="G235">
        <f t="shared" ca="1" si="36"/>
        <v>3</v>
      </c>
      <c r="H235">
        <f ca="1">VLOOKUP('Master Sheet'!E235,'Code Options'!$A$1:$R$7,5)</f>
        <v>0</v>
      </c>
      <c r="I235">
        <f t="shared" ca="1" si="37"/>
        <v>1</v>
      </c>
      <c r="J235" t="str">
        <f ca="1">VLOOKUP('Master Sheet'!G235,'Code Options'!$A$1:$R$7,6)</f>
        <v>Regional</v>
      </c>
      <c r="K235">
        <f t="shared" ca="1" si="38"/>
        <v>4</v>
      </c>
      <c r="L235" t="str">
        <f ca="1">VLOOKUP('Master Sheet'!I235,'Code Options'!$A$1:$R$7,7)</f>
        <v>Habitat</v>
      </c>
      <c r="M235">
        <f t="shared" ca="1" si="39"/>
        <v>3</v>
      </c>
      <c r="N235" t="str">
        <f ca="1">VLOOKUP('Master Sheet'!K235,'Code Options'!$A$1:$R$7,8)</f>
        <v>Creation of AR Mat</v>
      </c>
      <c r="O235">
        <f t="shared" ca="1" si="40"/>
        <v>5</v>
      </c>
      <c r="P235" t="str">
        <f ca="1">VLOOKUP('Master Sheet'!E235,'Code Options'!$A$1:$R$7,9)</f>
        <v>Guide</v>
      </c>
      <c r="Q235" cm="1">
        <f t="array" aca="1" ref="Q235" ca="1">_xlfn.IFS(P235 ="State_Plan", RANDBETWEEN(1,23), P235 ="State_Code", RANDBETWEEN(1,23), P235 = "Fed_Code", 99, P235 = "Summ_Article", 999, P235 = "Guide", 999)</f>
        <v>999</v>
      </c>
      <c r="R235" t="str">
        <f ca="1">VLOOKUP(Q235,'States and Locations'!$A$1:$B$26,2)</f>
        <v>UNK</v>
      </c>
      <c r="S235">
        <f ca="1">VLOOKUP(Q235,'States and Locations'!$A$1:$D$26,3)</f>
        <v>25</v>
      </c>
      <c r="T235">
        <f ca="1">VLOOKUP(Q235,'States and Locations'!$A$1:$D$26,4)</f>
        <v>-90</v>
      </c>
      <c r="U235">
        <f t="shared" ca="1" si="41"/>
        <v>5</v>
      </c>
      <c r="V235" t="str">
        <f ca="1">VLOOKUP('Master Sheet'!E235,'Code Options'!$A$1:$R$7,10)</f>
        <v>Wave_attenuation</v>
      </c>
      <c r="W235">
        <f t="shared" ca="1" si="42"/>
        <v>4</v>
      </c>
      <c r="X235" t="str">
        <f ca="1">VLOOKUP('Master Sheet'!E235,'Code Options'!$A$1:$R$7,11)</f>
        <v>Scuba</v>
      </c>
      <c r="Y235">
        <f t="shared" ca="1" si="43"/>
        <v>2</v>
      </c>
      <c r="Z235" t="str">
        <f ca="1">VLOOKUP('Master Sheet'!E235,'Code Options'!$A$1:$R$7,12)</f>
        <v>anglers</v>
      </c>
    </row>
    <row r="236" spans="1:26" x14ac:dyDescent="0.2">
      <c r="A236">
        <f t="shared" ca="1" si="33"/>
        <v>2</v>
      </c>
      <c r="B236" t="str">
        <f ca="1">VLOOKUP('Master Sheet'!A236,'Code Options'!$A$1:$B$7,2)</f>
        <v>Concrete</v>
      </c>
      <c r="C236">
        <f t="shared" ca="1" si="34"/>
        <v>2</v>
      </c>
      <c r="D236" t="str">
        <f ca="1">VLOOKUP('Master Sheet'!C236,'Code Options'!$A$1:$R$7,3)</f>
        <v>Pro</v>
      </c>
      <c r="E236">
        <f t="shared" ca="1" si="35"/>
        <v>3</v>
      </c>
      <c r="F236" t="str">
        <f ca="1">VLOOKUP('Master Sheet'!E236,'Code Options'!$A$1:$R$7,4)</f>
        <v>Jon</v>
      </c>
      <c r="G236">
        <f t="shared" ca="1" si="36"/>
        <v>3</v>
      </c>
      <c r="H236" t="str">
        <f ca="1">VLOOKUP('Master Sheet'!E236,'Code Options'!$A$1:$R$7,5)</f>
        <v>Nick</v>
      </c>
      <c r="I236">
        <f t="shared" ca="1" si="37"/>
        <v>2</v>
      </c>
      <c r="J236" t="str">
        <f ca="1">VLOOKUP('Master Sheet'!G236,'Code Options'!$A$1:$R$7,6)</f>
        <v>Regional</v>
      </c>
      <c r="K236">
        <f t="shared" ca="1" si="38"/>
        <v>3</v>
      </c>
      <c r="L236" t="str">
        <f ca="1">VLOOKUP('Master Sheet'!I236,'Code Options'!$A$1:$R$7,7)</f>
        <v>Production</v>
      </c>
      <c r="M236">
        <f t="shared" ca="1" si="39"/>
        <v>1</v>
      </c>
      <c r="N236" t="str">
        <f ca="1">VLOOKUP('Master Sheet'!K236,'Code Options'!$A$1:$R$7,8)</f>
        <v>Rec.Fish.Mngmt</v>
      </c>
      <c r="O236">
        <f t="shared" ca="1" si="40"/>
        <v>5</v>
      </c>
      <c r="P236" t="str">
        <f ca="1">VLOOKUP('Master Sheet'!E236,'Code Options'!$A$1:$R$7,9)</f>
        <v>State_Plan</v>
      </c>
      <c r="Q236" cm="1">
        <f t="array" aca="1" ref="Q236" ca="1">_xlfn.IFS(P236 ="State_Plan", RANDBETWEEN(1,23), P236 ="State_Code", RANDBETWEEN(1,23), P236 = "Fed_Code", 99, P236 = "Summ_Article", 999, P236 = "Guide", 999)</f>
        <v>14</v>
      </c>
      <c r="R236" t="str">
        <f ca="1">VLOOKUP(Q236,'States and Locations'!$A$1:$B$26,2)</f>
        <v>Florida</v>
      </c>
      <c r="S236">
        <f ca="1">VLOOKUP(Q236,'States and Locations'!$A$1:$D$26,3)</f>
        <v>28.133299999999998</v>
      </c>
      <c r="T236">
        <f ca="1">VLOOKUP(Q236,'States and Locations'!$A$1:$D$26,4)</f>
        <v>-81.633300000000006</v>
      </c>
      <c r="U236">
        <f t="shared" ca="1" si="41"/>
        <v>2</v>
      </c>
      <c r="V236" t="str">
        <f ca="1">VLOOKUP('Master Sheet'!E236,'Code Options'!$A$1:$R$7,10)</f>
        <v>Mitig.</v>
      </c>
      <c r="W236">
        <f t="shared" ca="1" si="42"/>
        <v>5</v>
      </c>
      <c r="X236" t="str">
        <f ca="1">VLOOKUP('Master Sheet'!E236,'Code Options'!$A$1:$R$7,11)</f>
        <v>Chart_Fish</v>
      </c>
      <c r="Y236">
        <f t="shared" ca="1" si="43"/>
        <v>5</v>
      </c>
      <c r="Z236" t="str">
        <f ca="1">VLOOKUP('Master Sheet'!E236,'Code Options'!$A$1:$R$7,12)</f>
        <v>Permit_reg_agencies</v>
      </c>
    </row>
    <row r="237" spans="1:26" x14ac:dyDescent="0.2">
      <c r="A237">
        <f t="shared" ca="1" si="33"/>
        <v>2</v>
      </c>
      <c r="B237" t="str">
        <f ca="1">VLOOKUP('Master Sheet'!A237,'Code Options'!$A$1:$B$7,2)</f>
        <v>Concrete</v>
      </c>
      <c r="C237">
        <f t="shared" ca="1" si="34"/>
        <v>2</v>
      </c>
      <c r="D237" t="str">
        <f ca="1">VLOOKUP('Master Sheet'!C237,'Code Options'!$A$1:$R$7,3)</f>
        <v>Pro</v>
      </c>
      <c r="E237">
        <f t="shared" ca="1" si="35"/>
        <v>1</v>
      </c>
      <c r="F237" t="str">
        <f ca="1">VLOOKUP('Master Sheet'!E237,'Code Options'!$A$1:$R$7,4)</f>
        <v>Will</v>
      </c>
      <c r="G237">
        <f t="shared" ca="1" si="36"/>
        <v>1</v>
      </c>
      <c r="H237" t="str">
        <f ca="1">VLOOKUP('Master Sheet'!E237,'Code Options'!$A$1:$R$7,5)</f>
        <v>Will</v>
      </c>
      <c r="I237">
        <f t="shared" ca="1" si="37"/>
        <v>3</v>
      </c>
      <c r="J237" t="str">
        <f ca="1">VLOOKUP('Master Sheet'!G237,'Code Options'!$A$1:$R$7,6)</f>
        <v>County/Local</v>
      </c>
      <c r="K237">
        <f t="shared" ca="1" si="38"/>
        <v>2</v>
      </c>
      <c r="L237" t="str">
        <f ca="1">VLOOKUP('Master Sheet'!I237,'Code Options'!$A$1:$R$7,7)</f>
        <v>Aggregation</v>
      </c>
      <c r="M237">
        <f t="shared" ca="1" si="39"/>
        <v>5</v>
      </c>
      <c r="N237" t="str">
        <f ca="1">VLOOKUP('Master Sheet'!K237,'Code Options'!$A$1:$R$7,8)</f>
        <v>Comm.Fish.Mngmt</v>
      </c>
      <c r="O237">
        <f t="shared" ca="1" si="40"/>
        <v>1</v>
      </c>
      <c r="P237" t="str">
        <f ca="1">VLOOKUP('Master Sheet'!E237,'Code Options'!$A$1:$R$7,9)</f>
        <v>State_Code</v>
      </c>
      <c r="Q237" cm="1">
        <f t="array" aca="1" ref="Q237" ca="1">_xlfn.IFS(P237 ="State_Plan", RANDBETWEEN(1,23), P237 ="State_Code", RANDBETWEEN(1,23), P237 = "Fed_Code", 99, P237 = "Summ_Article", 999, P237 = "Guide", 999)</f>
        <v>7</v>
      </c>
      <c r="R237" t="str">
        <f ca="1">VLOOKUP(Q237,'States and Locations'!$A$1:$B$26,2)</f>
        <v>New Jersey</v>
      </c>
      <c r="S237">
        <f ca="1">VLOOKUP(Q237,'States and Locations'!$A$1:$D$26,3)</f>
        <v>39.833300000000001</v>
      </c>
      <c r="T237">
        <f ca="1">VLOOKUP(Q237,'States and Locations'!$A$1:$D$26,4)</f>
        <v>-74.866699999999994</v>
      </c>
      <c r="U237">
        <f t="shared" ca="1" si="41"/>
        <v>3</v>
      </c>
      <c r="V237" t="str">
        <f ca="1">VLOOKUP('Master Sheet'!E237,'Code Options'!$A$1:$R$7,10)</f>
        <v>Hab_enhancement</v>
      </c>
      <c r="W237">
        <f t="shared" ca="1" si="42"/>
        <v>1</v>
      </c>
      <c r="X237" t="str">
        <f ca="1">VLOOKUP('Master Sheet'!E237,'Code Options'!$A$1:$R$7,11)</f>
        <v>Rec_Fish</v>
      </c>
      <c r="Y237">
        <f t="shared" ca="1" si="43"/>
        <v>4</v>
      </c>
      <c r="Z237" t="str">
        <f ca="1">VLOOKUP('Master Sheet'!E237,'Code Options'!$A$1:$R$7,12)</f>
        <v>AR_proj_plan_mngrs</v>
      </c>
    </row>
    <row r="238" spans="1:26" x14ac:dyDescent="0.2">
      <c r="A238">
        <f t="shared" ca="1" si="33"/>
        <v>3</v>
      </c>
      <c r="B238" t="str">
        <f ca="1">VLOOKUP('Master Sheet'!A238,'Code Options'!$A$1:$B$7,2)</f>
        <v>Metal</v>
      </c>
      <c r="C238">
        <f t="shared" ca="1" si="34"/>
        <v>2</v>
      </c>
      <c r="D238" t="str">
        <f ca="1">VLOOKUP('Master Sheet'!C238,'Code Options'!$A$1:$R$7,3)</f>
        <v>Pro</v>
      </c>
      <c r="E238">
        <f t="shared" ca="1" si="35"/>
        <v>4</v>
      </c>
      <c r="F238" t="str">
        <f ca="1">VLOOKUP('Master Sheet'!E238,'Code Options'!$A$1:$R$7,4)</f>
        <v>LM</v>
      </c>
      <c r="G238">
        <f t="shared" ca="1" si="36"/>
        <v>1</v>
      </c>
      <c r="H238">
        <f ca="1">VLOOKUP('Master Sheet'!E238,'Code Options'!$A$1:$R$7,5)</f>
        <v>0</v>
      </c>
      <c r="I238">
        <f t="shared" ca="1" si="37"/>
        <v>4</v>
      </c>
      <c r="J238" t="str">
        <f ca="1">VLOOKUP('Master Sheet'!G238,'Code Options'!$A$1:$R$7,6)</f>
        <v>County/Local</v>
      </c>
      <c r="K238">
        <f t="shared" ca="1" si="38"/>
        <v>1</v>
      </c>
      <c r="L238" t="str">
        <f ca="1">VLOOKUP('Master Sheet'!I238,'Code Options'!$A$1:$R$7,7)</f>
        <v>Biodiversity</v>
      </c>
      <c r="M238">
        <f t="shared" ca="1" si="39"/>
        <v>2</v>
      </c>
      <c r="N238" t="str">
        <f ca="1">VLOOKUP('Master Sheet'!K238,'Code Options'!$A$1:$R$7,8)</f>
        <v>Fish.Enhancement</v>
      </c>
      <c r="O238">
        <f t="shared" ca="1" si="40"/>
        <v>1</v>
      </c>
      <c r="P238" t="str">
        <f ca="1">VLOOKUP('Master Sheet'!E238,'Code Options'!$A$1:$R$7,9)</f>
        <v>Summ_Article</v>
      </c>
      <c r="Q238" cm="1">
        <f t="array" aca="1" ref="Q238" ca="1">_xlfn.IFS(P238 ="State_Plan", RANDBETWEEN(1,23), P238 ="State_Code", RANDBETWEEN(1,23), P238 = "Fed_Code", 99, P238 = "Summ_Article", 999, P238 = "Guide", 999)</f>
        <v>999</v>
      </c>
      <c r="R238" t="str">
        <f ca="1">VLOOKUP(Q238,'States and Locations'!$A$1:$B$26,2)</f>
        <v>UNK</v>
      </c>
      <c r="S238">
        <f ca="1">VLOOKUP(Q238,'States and Locations'!$A$1:$D$26,3)</f>
        <v>25</v>
      </c>
      <c r="T238">
        <f ca="1">VLOOKUP(Q238,'States and Locations'!$A$1:$D$26,4)</f>
        <v>-90</v>
      </c>
      <c r="U238">
        <f t="shared" ca="1" si="41"/>
        <v>2</v>
      </c>
      <c r="V238" t="str">
        <f ca="1">VLOOKUP('Master Sheet'!E238,'Code Options'!$A$1:$R$7,10)</f>
        <v>Hab_restoration</v>
      </c>
      <c r="W238">
        <f t="shared" ca="1" si="42"/>
        <v>5</v>
      </c>
      <c r="X238" t="str">
        <f ca="1">VLOOKUP('Master Sheet'!E238,'Code Options'!$A$1:$R$7,11)</f>
        <v>Non-Fish_rec</v>
      </c>
      <c r="Y238">
        <f t="shared" ca="1" si="43"/>
        <v>4</v>
      </c>
      <c r="Z238" t="str">
        <f ca="1">VLOOKUP('Master Sheet'!E238,'Code Options'!$A$1:$R$7,12)</f>
        <v>people_interested</v>
      </c>
    </row>
    <row r="239" spans="1:26" x14ac:dyDescent="0.2">
      <c r="A239">
        <f t="shared" ca="1" si="33"/>
        <v>6</v>
      </c>
      <c r="B239" t="str">
        <f ca="1">VLOOKUP('Master Sheet'!A239,'Code Options'!$A$1:$B$7,2)</f>
        <v>Tires/Rubber</v>
      </c>
      <c r="C239">
        <f t="shared" ca="1" si="34"/>
        <v>3</v>
      </c>
      <c r="D239" t="str">
        <f ca="1">VLOOKUP('Master Sheet'!C239,'Code Options'!$A$1:$R$7,3)</f>
        <v>Unsure</v>
      </c>
      <c r="E239">
        <f t="shared" ca="1" si="35"/>
        <v>5</v>
      </c>
      <c r="F239" t="str">
        <f ca="1">VLOOKUP('Master Sheet'!E239,'Code Options'!$A$1:$R$7,4)</f>
        <v>Nick</v>
      </c>
      <c r="G239">
        <f t="shared" ca="1" si="36"/>
        <v>1</v>
      </c>
      <c r="H239">
        <f ca="1">VLOOKUP('Master Sheet'!E239,'Code Options'!$A$1:$R$7,5)</f>
        <v>0</v>
      </c>
      <c r="I239">
        <f t="shared" ca="1" si="37"/>
        <v>1</v>
      </c>
      <c r="J239" t="str">
        <f ca="1">VLOOKUP('Master Sheet'!G239,'Code Options'!$A$1:$R$7,6)</f>
        <v>County/Local</v>
      </c>
      <c r="K239">
        <f t="shared" ca="1" si="38"/>
        <v>3</v>
      </c>
      <c r="L239" t="str">
        <f ca="1">VLOOKUP('Master Sheet'!I239,'Code Options'!$A$1:$R$7,7)</f>
        <v>Habitat</v>
      </c>
      <c r="M239">
        <f t="shared" ca="1" si="39"/>
        <v>1</v>
      </c>
      <c r="N239" t="str">
        <f ca="1">VLOOKUP('Master Sheet'!K239,'Code Options'!$A$1:$R$7,8)</f>
        <v>Rec.Fish.Mngmt</v>
      </c>
      <c r="O239">
        <f t="shared" ca="1" si="40"/>
        <v>2</v>
      </c>
      <c r="P239" t="str">
        <f ca="1">VLOOKUP('Master Sheet'!E239,'Code Options'!$A$1:$R$7,9)</f>
        <v>Guide</v>
      </c>
      <c r="Q239" cm="1">
        <f t="array" aca="1" ref="Q239" ca="1">_xlfn.IFS(P239 ="State_Plan", RANDBETWEEN(1,23), P239 ="State_Code", RANDBETWEEN(1,23), P239 = "Fed_Code", 99, P239 = "Summ_Article", 999, P239 = "Guide", 999)</f>
        <v>999</v>
      </c>
      <c r="R239" t="str">
        <f ca="1">VLOOKUP(Q239,'States and Locations'!$A$1:$B$26,2)</f>
        <v>UNK</v>
      </c>
      <c r="S239">
        <f ca="1">VLOOKUP(Q239,'States and Locations'!$A$1:$D$26,3)</f>
        <v>25</v>
      </c>
      <c r="T239">
        <f ca="1">VLOOKUP(Q239,'States and Locations'!$A$1:$D$26,4)</f>
        <v>-90</v>
      </c>
      <c r="U239">
        <f t="shared" ca="1" si="41"/>
        <v>5</v>
      </c>
      <c r="V239" t="str">
        <f ca="1">VLOOKUP('Master Sheet'!E239,'Code Options'!$A$1:$R$7,10)</f>
        <v>Wave_attenuation</v>
      </c>
      <c r="W239">
        <f t="shared" ca="1" si="42"/>
        <v>4</v>
      </c>
      <c r="X239" t="str">
        <f ca="1">VLOOKUP('Master Sheet'!E239,'Code Options'!$A$1:$R$7,11)</f>
        <v>Scuba</v>
      </c>
      <c r="Y239">
        <f t="shared" ca="1" si="43"/>
        <v>3</v>
      </c>
      <c r="Z239" t="str">
        <f ca="1">VLOOKUP('Master Sheet'!E239,'Code Options'!$A$1:$R$7,12)</f>
        <v>anglers</v>
      </c>
    </row>
    <row r="240" spans="1:26" x14ac:dyDescent="0.2">
      <c r="A240">
        <f t="shared" ca="1" si="33"/>
        <v>6</v>
      </c>
      <c r="B240" t="str">
        <f ca="1">VLOOKUP('Master Sheet'!A240,'Code Options'!$A$1:$B$7,2)</f>
        <v>Tires/Rubber</v>
      </c>
      <c r="C240">
        <f t="shared" ca="1" si="34"/>
        <v>2</v>
      </c>
      <c r="D240" t="str">
        <f ca="1">VLOOKUP('Master Sheet'!C240,'Code Options'!$A$1:$R$7,3)</f>
        <v>Pro</v>
      </c>
      <c r="E240">
        <f t="shared" ca="1" si="35"/>
        <v>4</v>
      </c>
      <c r="F240" t="str">
        <f ca="1">VLOOKUP('Master Sheet'!E240,'Code Options'!$A$1:$R$7,4)</f>
        <v>LM</v>
      </c>
      <c r="G240">
        <f t="shared" ca="1" si="36"/>
        <v>2</v>
      </c>
      <c r="H240">
        <f ca="1">VLOOKUP('Master Sheet'!E240,'Code Options'!$A$1:$R$7,5)</f>
        <v>0</v>
      </c>
      <c r="I240">
        <f t="shared" ca="1" si="37"/>
        <v>1</v>
      </c>
      <c r="J240" t="str">
        <f ca="1">VLOOKUP('Master Sheet'!G240,'Code Options'!$A$1:$R$7,6)</f>
        <v>State</v>
      </c>
      <c r="K240">
        <f t="shared" ca="1" si="38"/>
        <v>2</v>
      </c>
      <c r="L240" t="str">
        <f ca="1">VLOOKUP('Master Sheet'!I240,'Code Options'!$A$1:$R$7,7)</f>
        <v>Habitat</v>
      </c>
      <c r="M240">
        <f t="shared" ca="1" si="39"/>
        <v>4</v>
      </c>
      <c r="N240" t="str">
        <f ca="1">VLOOKUP('Master Sheet'!K240,'Code Options'!$A$1:$R$7,8)</f>
        <v>Comm.Fish.Mngmt</v>
      </c>
      <c r="O240">
        <f t="shared" ca="1" si="40"/>
        <v>5</v>
      </c>
      <c r="P240" t="str">
        <f ca="1">VLOOKUP('Master Sheet'!E240,'Code Options'!$A$1:$R$7,9)</f>
        <v>Summ_Article</v>
      </c>
      <c r="Q240" cm="1">
        <f t="array" aca="1" ref="Q240" ca="1">_xlfn.IFS(P240 ="State_Plan", RANDBETWEEN(1,23), P240 ="State_Code", RANDBETWEEN(1,23), P240 = "Fed_Code", 99, P240 = "Summ_Article", 999, P240 = "Guide", 999)</f>
        <v>999</v>
      </c>
      <c r="R240" t="str">
        <f ca="1">VLOOKUP(Q240,'States and Locations'!$A$1:$B$26,2)</f>
        <v>UNK</v>
      </c>
      <c r="S240">
        <f ca="1">VLOOKUP(Q240,'States and Locations'!$A$1:$D$26,3)</f>
        <v>25</v>
      </c>
      <c r="T240">
        <f ca="1">VLOOKUP(Q240,'States and Locations'!$A$1:$D$26,4)</f>
        <v>-90</v>
      </c>
      <c r="U240">
        <f t="shared" ca="1" si="41"/>
        <v>4</v>
      </c>
      <c r="V240" t="str">
        <f ca="1">VLOOKUP('Master Sheet'!E240,'Code Options'!$A$1:$R$7,10)</f>
        <v>Hab_restoration</v>
      </c>
      <c r="W240">
        <f t="shared" ca="1" si="42"/>
        <v>1</v>
      </c>
      <c r="X240" t="str">
        <f ca="1">VLOOKUP('Master Sheet'!E240,'Code Options'!$A$1:$R$7,11)</f>
        <v>Non-Fish_rec</v>
      </c>
      <c r="Y240">
        <f t="shared" ca="1" si="43"/>
        <v>2</v>
      </c>
      <c r="Z240" t="str">
        <f ca="1">VLOOKUP('Master Sheet'!E240,'Code Options'!$A$1:$R$7,12)</f>
        <v>people_interested</v>
      </c>
    </row>
    <row r="241" spans="1:26" x14ac:dyDescent="0.2">
      <c r="A241">
        <f t="shared" ca="1" si="33"/>
        <v>6</v>
      </c>
      <c r="B241" t="str">
        <f ca="1">VLOOKUP('Master Sheet'!A241,'Code Options'!$A$1:$B$7,2)</f>
        <v>Tires/Rubber</v>
      </c>
      <c r="C241">
        <f t="shared" ca="1" si="34"/>
        <v>1</v>
      </c>
      <c r="D241" t="str">
        <f ca="1">VLOOKUP('Master Sheet'!C241,'Code Options'!$A$1:$R$7,3)</f>
        <v>Retro</v>
      </c>
      <c r="E241">
        <f t="shared" ca="1" si="35"/>
        <v>4</v>
      </c>
      <c r="F241" t="str">
        <f ca="1">VLOOKUP('Master Sheet'!E241,'Code Options'!$A$1:$R$7,4)</f>
        <v>LM</v>
      </c>
      <c r="G241">
        <f t="shared" ca="1" si="36"/>
        <v>1</v>
      </c>
      <c r="H241">
        <f ca="1">VLOOKUP('Master Sheet'!E241,'Code Options'!$A$1:$R$7,5)</f>
        <v>0</v>
      </c>
      <c r="I241">
        <f t="shared" ca="1" si="37"/>
        <v>2</v>
      </c>
      <c r="J241" t="str">
        <f ca="1">VLOOKUP('Master Sheet'!G241,'Code Options'!$A$1:$R$7,6)</f>
        <v>County/Local</v>
      </c>
      <c r="K241">
        <f t="shared" ca="1" si="38"/>
        <v>4</v>
      </c>
      <c r="L241" t="str">
        <f ca="1">VLOOKUP('Master Sheet'!I241,'Code Options'!$A$1:$R$7,7)</f>
        <v>Production</v>
      </c>
      <c r="M241">
        <f t="shared" ca="1" si="39"/>
        <v>5</v>
      </c>
      <c r="N241" t="str">
        <f ca="1">VLOOKUP('Master Sheet'!K241,'Code Options'!$A$1:$R$7,8)</f>
        <v>Creation of AR Mat</v>
      </c>
      <c r="O241">
        <f t="shared" ca="1" si="40"/>
        <v>2</v>
      </c>
      <c r="P241" t="str">
        <f ca="1">VLOOKUP('Master Sheet'!E241,'Code Options'!$A$1:$R$7,9)</f>
        <v>Summ_Article</v>
      </c>
      <c r="Q241" cm="1">
        <f t="array" aca="1" ref="Q241" ca="1">_xlfn.IFS(P241 ="State_Plan", RANDBETWEEN(1,23), P241 ="State_Code", RANDBETWEEN(1,23), P241 = "Fed_Code", 99, P241 = "Summ_Article", 999, P241 = "Guide", 999)</f>
        <v>999</v>
      </c>
      <c r="R241" t="str">
        <f ca="1">VLOOKUP(Q241,'States and Locations'!$A$1:$B$26,2)</f>
        <v>UNK</v>
      </c>
      <c r="S241">
        <f ca="1">VLOOKUP(Q241,'States and Locations'!$A$1:$D$26,3)</f>
        <v>25</v>
      </c>
      <c r="T241">
        <f ca="1">VLOOKUP(Q241,'States and Locations'!$A$1:$D$26,4)</f>
        <v>-90</v>
      </c>
      <c r="U241">
        <f t="shared" ca="1" si="41"/>
        <v>3</v>
      </c>
      <c r="V241" t="str">
        <f ca="1">VLOOKUP('Master Sheet'!E241,'Code Options'!$A$1:$R$7,10)</f>
        <v>Hab_restoration</v>
      </c>
      <c r="W241">
        <f t="shared" ca="1" si="42"/>
        <v>4</v>
      </c>
      <c r="X241" t="str">
        <f ca="1">VLOOKUP('Master Sheet'!E241,'Code Options'!$A$1:$R$7,11)</f>
        <v>Non-Fish_rec</v>
      </c>
      <c r="Y241">
        <f t="shared" ca="1" si="43"/>
        <v>5</v>
      </c>
      <c r="Z241" t="str">
        <f ca="1">VLOOKUP('Master Sheet'!E241,'Code Options'!$A$1:$R$7,12)</f>
        <v>people_interested</v>
      </c>
    </row>
    <row r="242" spans="1:26" x14ac:dyDescent="0.2">
      <c r="A242">
        <f t="shared" ca="1" si="33"/>
        <v>4</v>
      </c>
      <c r="B242" t="str">
        <f ca="1">VLOOKUP('Master Sheet'!A242,'Code Options'!$A$1:$B$7,2)</f>
        <v>Other</v>
      </c>
      <c r="C242">
        <f t="shared" ca="1" si="34"/>
        <v>2</v>
      </c>
      <c r="D242" t="str">
        <f ca="1">VLOOKUP('Master Sheet'!C242,'Code Options'!$A$1:$R$7,3)</f>
        <v>Pro</v>
      </c>
      <c r="E242">
        <f t="shared" ca="1" si="35"/>
        <v>5</v>
      </c>
      <c r="F242" t="str">
        <f ca="1">VLOOKUP('Master Sheet'!E242,'Code Options'!$A$1:$R$7,4)</f>
        <v>Nick</v>
      </c>
      <c r="G242">
        <f t="shared" ca="1" si="36"/>
        <v>3</v>
      </c>
      <c r="H242">
        <f ca="1">VLOOKUP('Master Sheet'!E242,'Code Options'!$A$1:$R$7,5)</f>
        <v>0</v>
      </c>
      <c r="I242">
        <f t="shared" ca="1" si="37"/>
        <v>2</v>
      </c>
      <c r="J242" t="str">
        <f ca="1">VLOOKUP('Master Sheet'!G242,'Code Options'!$A$1:$R$7,6)</f>
        <v>Regional</v>
      </c>
      <c r="K242">
        <f t="shared" ca="1" si="38"/>
        <v>2</v>
      </c>
      <c r="L242" t="str">
        <f ca="1">VLOOKUP('Master Sheet'!I242,'Code Options'!$A$1:$R$7,7)</f>
        <v>Production</v>
      </c>
      <c r="M242">
        <f t="shared" ca="1" si="39"/>
        <v>3</v>
      </c>
      <c r="N242" t="str">
        <f ca="1">VLOOKUP('Master Sheet'!K242,'Code Options'!$A$1:$R$7,8)</f>
        <v>Comm.Fish.Mngmt</v>
      </c>
      <c r="O242">
        <f t="shared" ca="1" si="40"/>
        <v>3</v>
      </c>
      <c r="P242" t="str">
        <f ca="1">VLOOKUP('Master Sheet'!E242,'Code Options'!$A$1:$R$7,9)</f>
        <v>Guide</v>
      </c>
      <c r="Q242" cm="1">
        <f t="array" aca="1" ref="Q242" ca="1">_xlfn.IFS(P242 ="State_Plan", RANDBETWEEN(1,23), P242 ="State_Code", RANDBETWEEN(1,23), P242 = "Fed_Code", 99, P242 = "Summ_Article", 999, P242 = "Guide", 999)</f>
        <v>999</v>
      </c>
      <c r="R242" t="str">
        <f ca="1">VLOOKUP(Q242,'States and Locations'!$A$1:$B$26,2)</f>
        <v>UNK</v>
      </c>
      <c r="S242">
        <f ca="1">VLOOKUP(Q242,'States and Locations'!$A$1:$D$26,3)</f>
        <v>25</v>
      </c>
      <c r="T242">
        <f ca="1">VLOOKUP(Q242,'States and Locations'!$A$1:$D$26,4)</f>
        <v>-90</v>
      </c>
      <c r="U242">
        <f t="shared" ca="1" si="41"/>
        <v>1</v>
      </c>
      <c r="V242" t="str">
        <f ca="1">VLOOKUP('Master Sheet'!E242,'Code Options'!$A$1:$R$7,10)</f>
        <v>Wave_attenuation</v>
      </c>
      <c r="W242">
        <f t="shared" ca="1" si="42"/>
        <v>3</v>
      </c>
      <c r="X242" t="str">
        <f ca="1">VLOOKUP('Master Sheet'!E242,'Code Options'!$A$1:$R$7,11)</f>
        <v>Scuba</v>
      </c>
      <c r="Y242">
        <f t="shared" ca="1" si="43"/>
        <v>4</v>
      </c>
      <c r="Z242" t="str">
        <f ca="1">VLOOKUP('Master Sheet'!E242,'Code Options'!$A$1:$R$7,12)</f>
        <v>anglers</v>
      </c>
    </row>
    <row r="243" spans="1:26" x14ac:dyDescent="0.2">
      <c r="A243">
        <f t="shared" ca="1" si="33"/>
        <v>3</v>
      </c>
      <c r="B243" t="str">
        <f ca="1">VLOOKUP('Master Sheet'!A243,'Code Options'!$A$1:$B$7,2)</f>
        <v>Metal</v>
      </c>
      <c r="C243">
        <f t="shared" ca="1" si="34"/>
        <v>2</v>
      </c>
      <c r="D243" t="str">
        <f ca="1">VLOOKUP('Master Sheet'!C243,'Code Options'!$A$1:$R$7,3)</f>
        <v>Pro</v>
      </c>
      <c r="E243">
        <f t="shared" ca="1" si="35"/>
        <v>3</v>
      </c>
      <c r="F243" t="str">
        <f ca="1">VLOOKUP('Master Sheet'!E243,'Code Options'!$A$1:$R$7,4)</f>
        <v>Jon</v>
      </c>
      <c r="G243">
        <f t="shared" ca="1" si="36"/>
        <v>1</v>
      </c>
      <c r="H243" t="str">
        <f ca="1">VLOOKUP('Master Sheet'!E243,'Code Options'!$A$1:$R$7,5)</f>
        <v>Nick</v>
      </c>
      <c r="I243">
        <f t="shared" ca="1" si="37"/>
        <v>2</v>
      </c>
      <c r="J243" t="str">
        <f ca="1">VLOOKUP('Master Sheet'!G243,'Code Options'!$A$1:$R$7,6)</f>
        <v>County/Local</v>
      </c>
      <c r="K243">
        <f t="shared" ca="1" si="38"/>
        <v>4</v>
      </c>
      <c r="L243" t="str">
        <f ca="1">VLOOKUP('Master Sheet'!I243,'Code Options'!$A$1:$R$7,7)</f>
        <v>Production</v>
      </c>
      <c r="M243">
        <f t="shared" ca="1" si="39"/>
        <v>4</v>
      </c>
      <c r="N243" t="str">
        <f ca="1">VLOOKUP('Master Sheet'!K243,'Code Options'!$A$1:$R$7,8)</f>
        <v>Creation of AR Mat</v>
      </c>
      <c r="O243">
        <f t="shared" ca="1" si="40"/>
        <v>5</v>
      </c>
      <c r="P243" t="str">
        <f ca="1">VLOOKUP('Master Sheet'!E243,'Code Options'!$A$1:$R$7,9)</f>
        <v>State_Plan</v>
      </c>
      <c r="Q243" cm="1">
        <f t="array" aca="1" ref="Q243" ca="1">_xlfn.IFS(P243 ="State_Plan", RANDBETWEEN(1,23), P243 ="State_Code", RANDBETWEEN(1,23), P243 = "Fed_Code", 99, P243 = "Summ_Article", 999, P243 = "Guide", 999)</f>
        <v>5</v>
      </c>
      <c r="R243" t="str">
        <f ca="1">VLOOKUP(Q243,'States and Locations'!$A$1:$B$26,2)</f>
        <v>Connecticut</v>
      </c>
      <c r="S243">
        <f ca="1">VLOOKUP(Q243,'States and Locations'!$A$1:$D$26,3)</f>
        <v>41.6</v>
      </c>
      <c r="T243">
        <f ca="1">VLOOKUP(Q243,'States and Locations'!$A$1:$D$26,4)</f>
        <v>-72.7</v>
      </c>
      <c r="U243">
        <f t="shared" ca="1" si="41"/>
        <v>2</v>
      </c>
      <c r="V243" t="str">
        <f ca="1">VLOOKUP('Master Sheet'!E243,'Code Options'!$A$1:$R$7,10)</f>
        <v>Mitig.</v>
      </c>
      <c r="W243">
        <f t="shared" ca="1" si="42"/>
        <v>5</v>
      </c>
      <c r="X243" t="str">
        <f ca="1">VLOOKUP('Master Sheet'!E243,'Code Options'!$A$1:$R$7,11)</f>
        <v>Chart_Fish</v>
      </c>
      <c r="Y243">
        <f t="shared" ca="1" si="43"/>
        <v>3</v>
      </c>
      <c r="Z243" t="str">
        <f ca="1">VLOOKUP('Master Sheet'!E243,'Code Options'!$A$1:$R$7,12)</f>
        <v>Permit_reg_agencies</v>
      </c>
    </row>
    <row r="244" spans="1:26" x14ac:dyDescent="0.2">
      <c r="A244">
        <f t="shared" ca="1" si="33"/>
        <v>3</v>
      </c>
      <c r="B244" t="str">
        <f ca="1">VLOOKUP('Master Sheet'!A244,'Code Options'!$A$1:$B$7,2)</f>
        <v>Metal</v>
      </c>
      <c r="C244">
        <f t="shared" ca="1" si="34"/>
        <v>1</v>
      </c>
      <c r="D244" t="str">
        <f ca="1">VLOOKUP('Master Sheet'!C244,'Code Options'!$A$1:$R$7,3)</f>
        <v>Retro</v>
      </c>
      <c r="E244">
        <f t="shared" ca="1" si="35"/>
        <v>3</v>
      </c>
      <c r="F244" t="str">
        <f ca="1">VLOOKUP('Master Sheet'!E244,'Code Options'!$A$1:$R$7,4)</f>
        <v>Jon</v>
      </c>
      <c r="G244">
        <f t="shared" ca="1" si="36"/>
        <v>1</v>
      </c>
      <c r="H244" t="str">
        <f ca="1">VLOOKUP('Master Sheet'!E244,'Code Options'!$A$1:$R$7,5)</f>
        <v>Nick</v>
      </c>
      <c r="I244">
        <f t="shared" ca="1" si="37"/>
        <v>4</v>
      </c>
      <c r="J244" t="str">
        <f ca="1">VLOOKUP('Master Sheet'!G244,'Code Options'!$A$1:$R$7,6)</f>
        <v>County/Local</v>
      </c>
      <c r="K244">
        <f t="shared" ca="1" si="38"/>
        <v>3</v>
      </c>
      <c r="L244" t="str">
        <f ca="1">VLOOKUP('Master Sheet'!I244,'Code Options'!$A$1:$R$7,7)</f>
        <v>Biodiversity</v>
      </c>
      <c r="M244">
        <f t="shared" ca="1" si="39"/>
        <v>4</v>
      </c>
      <c r="N244" t="str">
        <f ca="1">VLOOKUP('Master Sheet'!K244,'Code Options'!$A$1:$R$7,8)</f>
        <v>Rec.Fish.Mngmt</v>
      </c>
      <c r="O244">
        <f t="shared" ca="1" si="40"/>
        <v>5</v>
      </c>
      <c r="P244" t="str">
        <f ca="1">VLOOKUP('Master Sheet'!E244,'Code Options'!$A$1:$R$7,9)</f>
        <v>State_Plan</v>
      </c>
      <c r="Q244" cm="1">
        <f t="array" aca="1" ref="Q244" ca="1">_xlfn.IFS(P244 ="State_Plan", RANDBETWEEN(1,23), P244 ="State_Code", RANDBETWEEN(1,23), P244 = "Fed_Code", 99, P244 = "Summ_Article", 999, P244 = "Guide", 999)</f>
        <v>3</v>
      </c>
      <c r="R244" t="str">
        <f ca="1">VLOOKUP(Q244,'States and Locations'!$A$1:$B$26,2)</f>
        <v>Massachussetts</v>
      </c>
      <c r="S244">
        <f ca="1">VLOOKUP(Q244,'States and Locations'!$A$1:$D$26,3)</f>
        <v>42.4</v>
      </c>
      <c r="T244">
        <f ca="1">VLOOKUP(Q244,'States and Locations'!$A$1:$D$26,4)</f>
        <v>-71.383300000000006</v>
      </c>
      <c r="U244">
        <f t="shared" ca="1" si="41"/>
        <v>1</v>
      </c>
      <c r="V244" t="str">
        <f ca="1">VLOOKUP('Master Sheet'!E244,'Code Options'!$A$1:$R$7,10)</f>
        <v>Mitig.</v>
      </c>
      <c r="W244">
        <f t="shared" ca="1" si="42"/>
        <v>5</v>
      </c>
      <c r="X244" t="str">
        <f ca="1">VLOOKUP('Master Sheet'!E244,'Code Options'!$A$1:$R$7,11)</f>
        <v>Chart_Fish</v>
      </c>
      <c r="Y244">
        <f t="shared" ca="1" si="43"/>
        <v>2</v>
      </c>
      <c r="Z244" t="str">
        <f ca="1">VLOOKUP('Master Sheet'!E244,'Code Options'!$A$1:$R$7,12)</f>
        <v>Permit_reg_agencies</v>
      </c>
    </row>
    <row r="245" spans="1:26" x14ac:dyDescent="0.2">
      <c r="A245">
        <f t="shared" ca="1" si="33"/>
        <v>3</v>
      </c>
      <c r="B245" t="str">
        <f ca="1">VLOOKUP('Master Sheet'!A245,'Code Options'!$A$1:$B$7,2)</f>
        <v>Metal</v>
      </c>
      <c r="C245">
        <f t="shared" ca="1" si="34"/>
        <v>3</v>
      </c>
      <c r="D245" t="str">
        <f ca="1">VLOOKUP('Master Sheet'!C245,'Code Options'!$A$1:$R$7,3)</f>
        <v>Unsure</v>
      </c>
      <c r="E245">
        <f t="shared" ca="1" si="35"/>
        <v>2</v>
      </c>
      <c r="F245" t="str">
        <f ca="1">VLOOKUP('Master Sheet'!E245,'Code Options'!$A$1:$R$7,4)</f>
        <v>Cyndi</v>
      </c>
      <c r="G245">
        <f t="shared" ca="1" si="36"/>
        <v>1</v>
      </c>
      <c r="H245" t="str">
        <f ca="1">VLOOKUP('Master Sheet'!E245,'Code Options'!$A$1:$R$7,5)</f>
        <v>Cyndi</v>
      </c>
      <c r="I245">
        <f t="shared" ca="1" si="37"/>
        <v>3</v>
      </c>
      <c r="J245" t="str">
        <f ca="1">VLOOKUP('Master Sheet'!G245,'Code Options'!$A$1:$R$7,6)</f>
        <v>County/Local</v>
      </c>
      <c r="K245">
        <f t="shared" ca="1" si="38"/>
        <v>3</v>
      </c>
      <c r="L245" t="str">
        <f ca="1">VLOOKUP('Master Sheet'!I245,'Code Options'!$A$1:$R$7,7)</f>
        <v>Aggregation</v>
      </c>
      <c r="M245">
        <f t="shared" ca="1" si="39"/>
        <v>5</v>
      </c>
      <c r="N245" t="str">
        <f ca="1">VLOOKUP('Master Sheet'!K245,'Code Options'!$A$1:$R$7,8)</f>
        <v>Rec.Fish.Mngmt</v>
      </c>
      <c r="O245">
        <f t="shared" ca="1" si="40"/>
        <v>2</v>
      </c>
      <c r="P245" t="str">
        <f ca="1">VLOOKUP('Master Sheet'!E245,'Code Options'!$A$1:$R$7,9)</f>
        <v>Fed_Code</v>
      </c>
      <c r="Q245" cm="1">
        <f t="array" aca="1" ref="Q245" ca="1">_xlfn.IFS(P245 ="State_Plan", RANDBETWEEN(1,23), P245 ="State_Code", RANDBETWEEN(1,23), P245 = "Fed_Code", 99, P245 = "Summ_Article", 999, P245 = "Guide", 999)</f>
        <v>99</v>
      </c>
      <c r="R245" t="str">
        <f ca="1">VLOOKUP(Q245,'States and Locations'!$A$1:$B$26,2)</f>
        <v>National</v>
      </c>
      <c r="S245">
        <f ca="1">VLOOKUP(Q245,'States and Locations'!$A$1:$D$26,3)</f>
        <v>39.833300000000001</v>
      </c>
      <c r="T245">
        <f ca="1">VLOOKUP(Q245,'States and Locations'!$A$1:$D$26,4)</f>
        <v>-98.583299999999994</v>
      </c>
      <c r="U245">
        <f t="shared" ca="1" si="41"/>
        <v>3</v>
      </c>
      <c r="V245" t="str">
        <f ca="1">VLOOKUP('Master Sheet'!E245,'Code Options'!$A$1:$R$7,10)</f>
        <v>Disposal</v>
      </c>
      <c r="W245">
        <f t="shared" ca="1" si="42"/>
        <v>2</v>
      </c>
      <c r="X245" t="str">
        <f ca="1">VLOOKUP('Master Sheet'!E245,'Code Options'!$A$1:$R$7,11)</f>
        <v>Comm_Fish</v>
      </c>
      <c r="Y245">
        <f t="shared" ca="1" si="43"/>
        <v>5</v>
      </c>
      <c r="Z245" t="str">
        <f ca="1">VLOOKUP('Master Sheet'!E245,'Code Options'!$A$1:$R$7,12)</f>
        <v>AS_constructors</v>
      </c>
    </row>
    <row r="246" spans="1:26" x14ac:dyDescent="0.2">
      <c r="A246">
        <f t="shared" ca="1" si="33"/>
        <v>2</v>
      </c>
      <c r="B246" t="str">
        <f ca="1">VLOOKUP('Master Sheet'!A246,'Code Options'!$A$1:$B$7,2)</f>
        <v>Concrete</v>
      </c>
      <c r="C246">
        <f t="shared" ca="1" si="34"/>
        <v>3</v>
      </c>
      <c r="D246" t="str">
        <f ca="1">VLOOKUP('Master Sheet'!C246,'Code Options'!$A$1:$R$7,3)</f>
        <v>Unsure</v>
      </c>
      <c r="E246">
        <f t="shared" ca="1" si="35"/>
        <v>3</v>
      </c>
      <c r="F246" t="str">
        <f ca="1">VLOOKUP('Master Sheet'!E246,'Code Options'!$A$1:$R$7,4)</f>
        <v>Jon</v>
      </c>
      <c r="G246">
        <f t="shared" ca="1" si="36"/>
        <v>2</v>
      </c>
      <c r="H246" t="str">
        <f ca="1">VLOOKUP('Master Sheet'!E246,'Code Options'!$A$1:$R$7,5)</f>
        <v>Nick</v>
      </c>
      <c r="I246">
        <f t="shared" ca="1" si="37"/>
        <v>4</v>
      </c>
      <c r="J246" t="str">
        <f ca="1">VLOOKUP('Master Sheet'!G246,'Code Options'!$A$1:$R$7,6)</f>
        <v>State</v>
      </c>
      <c r="K246">
        <f t="shared" ca="1" si="38"/>
        <v>4</v>
      </c>
      <c r="L246" t="str">
        <f ca="1">VLOOKUP('Master Sheet'!I246,'Code Options'!$A$1:$R$7,7)</f>
        <v>Biodiversity</v>
      </c>
      <c r="M246">
        <f t="shared" ca="1" si="39"/>
        <v>1</v>
      </c>
      <c r="N246" t="str">
        <f ca="1">VLOOKUP('Master Sheet'!K246,'Code Options'!$A$1:$R$7,8)</f>
        <v>Creation of AR Mat</v>
      </c>
      <c r="O246">
        <f t="shared" ca="1" si="40"/>
        <v>3</v>
      </c>
      <c r="P246" t="str">
        <f ca="1">VLOOKUP('Master Sheet'!E246,'Code Options'!$A$1:$R$7,9)</f>
        <v>State_Plan</v>
      </c>
      <c r="Q246" cm="1">
        <f t="array" aca="1" ref="Q246" ca="1">_xlfn.IFS(P246 ="State_Plan", RANDBETWEEN(1,23), P246 ="State_Code", RANDBETWEEN(1,23), P246 = "Fed_Code", 99, P246 = "Summ_Article", 999, P246 = "Guide", 999)</f>
        <v>10</v>
      </c>
      <c r="R246" t="str">
        <f ca="1">VLOOKUP(Q246,'States and Locations'!$A$1:$B$26,2)</f>
        <v>Virginia</v>
      </c>
      <c r="S246">
        <f ca="1">VLOOKUP(Q246,'States and Locations'!$A$1:$D$26,3)</f>
        <v>37.5167</v>
      </c>
      <c r="T246">
        <f ca="1">VLOOKUP(Q246,'States and Locations'!$A$1:$D$26,4)</f>
        <v>-78.633300000000006</v>
      </c>
      <c r="U246">
        <f t="shared" ca="1" si="41"/>
        <v>3</v>
      </c>
      <c r="V246" t="str">
        <f ca="1">VLOOKUP('Master Sheet'!E246,'Code Options'!$A$1:$R$7,10)</f>
        <v>Mitig.</v>
      </c>
      <c r="W246">
        <f t="shared" ca="1" si="42"/>
        <v>5</v>
      </c>
      <c r="X246" t="str">
        <f ca="1">VLOOKUP('Master Sheet'!E246,'Code Options'!$A$1:$R$7,11)</f>
        <v>Chart_Fish</v>
      </c>
      <c r="Y246">
        <f t="shared" ca="1" si="43"/>
        <v>5</v>
      </c>
      <c r="Z246" t="str">
        <f ca="1">VLOOKUP('Master Sheet'!E246,'Code Options'!$A$1:$R$7,12)</f>
        <v>Permit_reg_agencies</v>
      </c>
    </row>
    <row r="247" spans="1:26" x14ac:dyDescent="0.2">
      <c r="A247">
        <f t="shared" ca="1" si="33"/>
        <v>6</v>
      </c>
      <c r="B247" t="str">
        <f ca="1">VLOOKUP('Master Sheet'!A247,'Code Options'!$A$1:$B$7,2)</f>
        <v>Tires/Rubber</v>
      </c>
      <c r="C247">
        <f t="shared" ca="1" si="34"/>
        <v>3</v>
      </c>
      <c r="D247" t="str">
        <f ca="1">VLOOKUP('Master Sheet'!C247,'Code Options'!$A$1:$R$7,3)</f>
        <v>Unsure</v>
      </c>
      <c r="E247">
        <f t="shared" ca="1" si="35"/>
        <v>4</v>
      </c>
      <c r="F247" t="str">
        <f ca="1">VLOOKUP('Master Sheet'!E247,'Code Options'!$A$1:$R$7,4)</f>
        <v>LM</v>
      </c>
      <c r="G247">
        <f t="shared" ca="1" si="36"/>
        <v>3</v>
      </c>
      <c r="H247">
        <f ca="1">VLOOKUP('Master Sheet'!E247,'Code Options'!$A$1:$R$7,5)</f>
        <v>0</v>
      </c>
      <c r="I247">
        <f t="shared" ca="1" si="37"/>
        <v>3</v>
      </c>
      <c r="J247" t="str">
        <f ca="1">VLOOKUP('Master Sheet'!G247,'Code Options'!$A$1:$R$7,6)</f>
        <v>Regional</v>
      </c>
      <c r="K247">
        <f t="shared" ca="1" si="38"/>
        <v>1</v>
      </c>
      <c r="L247" t="str">
        <f ca="1">VLOOKUP('Master Sheet'!I247,'Code Options'!$A$1:$R$7,7)</f>
        <v>Aggregation</v>
      </c>
      <c r="M247">
        <f t="shared" ca="1" si="39"/>
        <v>1</v>
      </c>
      <c r="N247" t="str">
        <f ca="1">VLOOKUP('Master Sheet'!K247,'Code Options'!$A$1:$R$7,8)</f>
        <v>Fish.Enhancement</v>
      </c>
      <c r="O247">
        <f t="shared" ca="1" si="40"/>
        <v>5</v>
      </c>
      <c r="P247" t="str">
        <f ca="1">VLOOKUP('Master Sheet'!E247,'Code Options'!$A$1:$R$7,9)</f>
        <v>Summ_Article</v>
      </c>
      <c r="Q247" cm="1">
        <f t="array" aca="1" ref="Q247" ca="1">_xlfn.IFS(P247 ="State_Plan", RANDBETWEEN(1,23), P247 ="State_Code", RANDBETWEEN(1,23), P247 = "Fed_Code", 99, P247 = "Summ_Article", 999, P247 = "Guide", 999)</f>
        <v>999</v>
      </c>
      <c r="R247" t="str">
        <f ca="1">VLOOKUP(Q247,'States and Locations'!$A$1:$B$26,2)</f>
        <v>UNK</v>
      </c>
      <c r="S247">
        <f ca="1">VLOOKUP(Q247,'States and Locations'!$A$1:$D$26,3)</f>
        <v>25</v>
      </c>
      <c r="T247">
        <f ca="1">VLOOKUP(Q247,'States and Locations'!$A$1:$D$26,4)</f>
        <v>-90</v>
      </c>
      <c r="U247">
        <f t="shared" ca="1" si="41"/>
        <v>3</v>
      </c>
      <c r="V247" t="str">
        <f ca="1">VLOOKUP('Master Sheet'!E247,'Code Options'!$A$1:$R$7,10)</f>
        <v>Hab_restoration</v>
      </c>
      <c r="W247">
        <f t="shared" ca="1" si="42"/>
        <v>1</v>
      </c>
      <c r="X247" t="str">
        <f ca="1">VLOOKUP('Master Sheet'!E247,'Code Options'!$A$1:$R$7,11)</f>
        <v>Non-Fish_rec</v>
      </c>
      <c r="Y247">
        <f t="shared" ca="1" si="43"/>
        <v>3</v>
      </c>
      <c r="Z247" t="str">
        <f ca="1">VLOOKUP('Master Sheet'!E247,'Code Options'!$A$1:$R$7,12)</f>
        <v>people_interested</v>
      </c>
    </row>
    <row r="248" spans="1:26" x14ac:dyDescent="0.2">
      <c r="A248">
        <f t="shared" ca="1" si="33"/>
        <v>4</v>
      </c>
      <c r="B248" t="str">
        <f ca="1">VLOOKUP('Master Sheet'!A248,'Code Options'!$A$1:$B$7,2)</f>
        <v>Other</v>
      </c>
      <c r="C248">
        <f t="shared" ca="1" si="34"/>
        <v>1</v>
      </c>
      <c r="D248" t="str">
        <f ca="1">VLOOKUP('Master Sheet'!C248,'Code Options'!$A$1:$R$7,3)</f>
        <v>Retro</v>
      </c>
      <c r="E248">
        <f t="shared" ca="1" si="35"/>
        <v>2</v>
      </c>
      <c r="F248" t="str">
        <f ca="1">VLOOKUP('Master Sheet'!E248,'Code Options'!$A$1:$R$7,4)</f>
        <v>Cyndi</v>
      </c>
      <c r="G248">
        <f t="shared" ca="1" si="36"/>
        <v>2</v>
      </c>
      <c r="H248" t="str">
        <f ca="1">VLOOKUP('Master Sheet'!E248,'Code Options'!$A$1:$R$7,5)</f>
        <v>Cyndi</v>
      </c>
      <c r="I248">
        <f t="shared" ca="1" si="37"/>
        <v>3</v>
      </c>
      <c r="J248" t="str">
        <f ca="1">VLOOKUP('Master Sheet'!G248,'Code Options'!$A$1:$R$7,6)</f>
        <v>State</v>
      </c>
      <c r="K248">
        <f t="shared" ca="1" si="38"/>
        <v>4</v>
      </c>
      <c r="L248" t="str">
        <f ca="1">VLOOKUP('Master Sheet'!I248,'Code Options'!$A$1:$R$7,7)</f>
        <v>Aggregation</v>
      </c>
      <c r="M248">
        <f t="shared" ca="1" si="39"/>
        <v>3</v>
      </c>
      <c r="N248" t="str">
        <f ca="1">VLOOKUP('Master Sheet'!K248,'Code Options'!$A$1:$R$7,8)</f>
        <v>Creation of AR Mat</v>
      </c>
      <c r="O248">
        <f t="shared" ca="1" si="40"/>
        <v>4</v>
      </c>
      <c r="P248" t="str">
        <f ca="1">VLOOKUP('Master Sheet'!E248,'Code Options'!$A$1:$R$7,9)</f>
        <v>Fed_Code</v>
      </c>
      <c r="Q248" cm="1">
        <f t="array" aca="1" ref="Q248" ca="1">_xlfn.IFS(P248 ="State_Plan", RANDBETWEEN(1,23), P248 ="State_Code", RANDBETWEEN(1,23), P248 = "Fed_Code", 99, P248 = "Summ_Article", 999, P248 = "Guide", 999)</f>
        <v>99</v>
      </c>
      <c r="R248" t="str">
        <f ca="1">VLOOKUP(Q248,'States and Locations'!$A$1:$B$26,2)</f>
        <v>National</v>
      </c>
      <c r="S248">
        <f ca="1">VLOOKUP(Q248,'States and Locations'!$A$1:$D$26,3)</f>
        <v>39.833300000000001</v>
      </c>
      <c r="T248">
        <f ca="1">VLOOKUP(Q248,'States and Locations'!$A$1:$D$26,4)</f>
        <v>-98.583299999999994</v>
      </c>
      <c r="U248">
        <f t="shared" ca="1" si="41"/>
        <v>5</v>
      </c>
      <c r="V248" t="str">
        <f ca="1">VLOOKUP('Master Sheet'!E248,'Code Options'!$A$1:$R$7,10)</f>
        <v>Disposal</v>
      </c>
      <c r="W248">
        <f t="shared" ca="1" si="42"/>
        <v>5</v>
      </c>
      <c r="X248" t="str">
        <f ca="1">VLOOKUP('Master Sheet'!E248,'Code Options'!$A$1:$R$7,11)</f>
        <v>Comm_Fish</v>
      </c>
      <c r="Y248">
        <f t="shared" ca="1" si="43"/>
        <v>2</v>
      </c>
      <c r="Z248" t="str">
        <f ca="1">VLOOKUP('Master Sheet'!E248,'Code Options'!$A$1:$R$7,12)</f>
        <v>AS_constructors</v>
      </c>
    </row>
    <row r="249" spans="1:26" x14ac:dyDescent="0.2">
      <c r="A249">
        <f t="shared" ca="1" si="33"/>
        <v>5</v>
      </c>
      <c r="B249" t="str">
        <f ca="1">VLOOKUP('Master Sheet'!A249,'Code Options'!$A$1:$B$7,2)</f>
        <v>Rock</v>
      </c>
      <c r="C249">
        <f t="shared" ca="1" si="34"/>
        <v>3</v>
      </c>
      <c r="D249" t="str">
        <f ca="1">VLOOKUP('Master Sheet'!C249,'Code Options'!$A$1:$R$7,3)</f>
        <v>Unsure</v>
      </c>
      <c r="E249">
        <f t="shared" ca="1" si="35"/>
        <v>1</v>
      </c>
      <c r="F249" t="str">
        <f ca="1">VLOOKUP('Master Sheet'!E249,'Code Options'!$A$1:$R$7,4)</f>
        <v>Will</v>
      </c>
      <c r="G249">
        <f t="shared" ca="1" si="36"/>
        <v>1</v>
      </c>
      <c r="H249" t="str">
        <f ca="1">VLOOKUP('Master Sheet'!E249,'Code Options'!$A$1:$R$7,5)</f>
        <v>Will</v>
      </c>
      <c r="I249">
        <f t="shared" ca="1" si="37"/>
        <v>1</v>
      </c>
      <c r="J249" t="str">
        <f ca="1">VLOOKUP('Master Sheet'!G249,'Code Options'!$A$1:$R$7,6)</f>
        <v>County/Local</v>
      </c>
      <c r="K249">
        <f t="shared" ca="1" si="38"/>
        <v>1</v>
      </c>
      <c r="L249" t="str">
        <f ca="1">VLOOKUP('Master Sheet'!I249,'Code Options'!$A$1:$R$7,7)</f>
        <v>Habitat</v>
      </c>
      <c r="M249">
        <f t="shared" ca="1" si="39"/>
        <v>2</v>
      </c>
      <c r="N249" t="str">
        <f ca="1">VLOOKUP('Master Sheet'!K249,'Code Options'!$A$1:$R$7,8)</f>
        <v>Fish.Enhancement</v>
      </c>
      <c r="O249">
        <f t="shared" ca="1" si="40"/>
        <v>5</v>
      </c>
      <c r="P249" t="str">
        <f ca="1">VLOOKUP('Master Sheet'!E249,'Code Options'!$A$1:$R$7,9)</f>
        <v>State_Code</v>
      </c>
      <c r="Q249" cm="1">
        <f t="array" aca="1" ref="Q249" ca="1">_xlfn.IFS(P249 ="State_Plan", RANDBETWEEN(1,23), P249 ="State_Code", RANDBETWEEN(1,23), P249 = "Fed_Code", 99, P249 = "Summ_Article", 999, P249 = "Guide", 999)</f>
        <v>4</v>
      </c>
      <c r="R249" t="str">
        <f ca="1">VLOOKUP(Q249,'States and Locations'!$A$1:$B$26,2)</f>
        <v>Rhode Island</v>
      </c>
      <c r="S249">
        <f ca="1">VLOOKUP(Q249,'States and Locations'!$A$1:$D$26,3)</f>
        <v>41.666699999999999</v>
      </c>
      <c r="T249">
        <f ca="1">VLOOKUP(Q249,'States and Locations'!$A$1:$D$26,4)</f>
        <v>-71.5</v>
      </c>
      <c r="U249">
        <f t="shared" ca="1" si="41"/>
        <v>2</v>
      </c>
      <c r="V249" t="str">
        <f ca="1">VLOOKUP('Master Sheet'!E249,'Code Options'!$A$1:$R$7,10)</f>
        <v>Hab_enhancement</v>
      </c>
      <c r="W249">
        <f t="shared" ca="1" si="42"/>
        <v>5</v>
      </c>
      <c r="X249" t="str">
        <f ca="1">VLOOKUP('Master Sheet'!E249,'Code Options'!$A$1:$R$7,11)</f>
        <v>Rec_Fish</v>
      </c>
      <c r="Y249">
        <f t="shared" ca="1" si="43"/>
        <v>3</v>
      </c>
      <c r="Z249" t="str">
        <f ca="1">VLOOKUP('Master Sheet'!E249,'Code Options'!$A$1:$R$7,12)</f>
        <v>AR_proj_plan_mngrs</v>
      </c>
    </row>
    <row r="250" spans="1:26" x14ac:dyDescent="0.2">
      <c r="A250">
        <f t="shared" ca="1" si="33"/>
        <v>3</v>
      </c>
      <c r="B250" t="str">
        <f ca="1">VLOOKUP('Master Sheet'!A250,'Code Options'!$A$1:$B$7,2)</f>
        <v>Metal</v>
      </c>
      <c r="C250">
        <f t="shared" ca="1" si="34"/>
        <v>1</v>
      </c>
      <c r="D250" t="str">
        <f ca="1">VLOOKUP('Master Sheet'!C250,'Code Options'!$A$1:$R$7,3)</f>
        <v>Retro</v>
      </c>
      <c r="E250">
        <f t="shared" ca="1" si="35"/>
        <v>1</v>
      </c>
      <c r="F250" t="str">
        <f ca="1">VLOOKUP('Master Sheet'!E250,'Code Options'!$A$1:$R$7,4)</f>
        <v>Will</v>
      </c>
      <c r="G250">
        <f t="shared" ca="1" si="36"/>
        <v>1</v>
      </c>
      <c r="H250" t="str">
        <f ca="1">VLOOKUP('Master Sheet'!E250,'Code Options'!$A$1:$R$7,5)</f>
        <v>Will</v>
      </c>
      <c r="I250">
        <f t="shared" ca="1" si="37"/>
        <v>4</v>
      </c>
      <c r="J250" t="str">
        <f ca="1">VLOOKUP('Master Sheet'!G250,'Code Options'!$A$1:$R$7,6)</f>
        <v>County/Local</v>
      </c>
      <c r="K250">
        <f t="shared" ca="1" si="38"/>
        <v>1</v>
      </c>
      <c r="L250" t="str">
        <f ca="1">VLOOKUP('Master Sheet'!I250,'Code Options'!$A$1:$R$7,7)</f>
        <v>Biodiversity</v>
      </c>
      <c r="M250">
        <f t="shared" ca="1" si="39"/>
        <v>2</v>
      </c>
      <c r="N250" t="str">
        <f ca="1">VLOOKUP('Master Sheet'!K250,'Code Options'!$A$1:$R$7,8)</f>
        <v>Fish.Enhancement</v>
      </c>
      <c r="O250">
        <f t="shared" ca="1" si="40"/>
        <v>5</v>
      </c>
      <c r="P250" t="str">
        <f ca="1">VLOOKUP('Master Sheet'!E250,'Code Options'!$A$1:$R$7,9)</f>
        <v>State_Code</v>
      </c>
      <c r="Q250" cm="1">
        <f t="array" aca="1" ref="Q250" ca="1">_xlfn.IFS(P250 ="State_Plan", RANDBETWEEN(1,23), P250 ="State_Code", RANDBETWEEN(1,23), P250 = "Fed_Code", 99, P250 = "Summ_Article", 999, P250 = "Guide", 999)</f>
        <v>10</v>
      </c>
      <c r="R250" t="str">
        <f ca="1">VLOOKUP(Q250,'States and Locations'!$A$1:$B$26,2)</f>
        <v>Virginia</v>
      </c>
      <c r="S250">
        <f ca="1">VLOOKUP(Q250,'States and Locations'!$A$1:$D$26,3)</f>
        <v>37.5167</v>
      </c>
      <c r="T250">
        <f ca="1">VLOOKUP(Q250,'States and Locations'!$A$1:$D$26,4)</f>
        <v>-78.633300000000006</v>
      </c>
      <c r="U250">
        <f t="shared" ca="1" si="41"/>
        <v>3</v>
      </c>
      <c r="V250" t="str">
        <f ca="1">VLOOKUP('Master Sheet'!E250,'Code Options'!$A$1:$R$7,10)</f>
        <v>Hab_enhancement</v>
      </c>
      <c r="W250">
        <f t="shared" ca="1" si="42"/>
        <v>5</v>
      </c>
      <c r="X250" t="str">
        <f ca="1">VLOOKUP('Master Sheet'!E250,'Code Options'!$A$1:$R$7,11)</f>
        <v>Rec_Fish</v>
      </c>
      <c r="Y250">
        <f t="shared" ca="1" si="43"/>
        <v>2</v>
      </c>
      <c r="Z250" t="str">
        <f ca="1">VLOOKUP('Master Sheet'!E250,'Code Options'!$A$1:$R$7,12)</f>
        <v>AR_proj_plan_mngrs</v>
      </c>
    </row>
    <row r="251" spans="1:26" x14ac:dyDescent="0.2">
      <c r="A251">
        <f t="shared" ca="1" si="33"/>
        <v>6</v>
      </c>
      <c r="B251" t="str">
        <f ca="1">VLOOKUP('Master Sheet'!A251,'Code Options'!$A$1:$B$7,2)</f>
        <v>Tires/Rubber</v>
      </c>
      <c r="C251">
        <f t="shared" ca="1" si="34"/>
        <v>1</v>
      </c>
      <c r="D251" t="str">
        <f ca="1">VLOOKUP('Master Sheet'!C251,'Code Options'!$A$1:$R$7,3)</f>
        <v>Retro</v>
      </c>
      <c r="E251">
        <f t="shared" ca="1" si="35"/>
        <v>3</v>
      </c>
      <c r="F251" t="str">
        <f ca="1">VLOOKUP('Master Sheet'!E251,'Code Options'!$A$1:$R$7,4)</f>
        <v>Jon</v>
      </c>
      <c r="G251">
        <f t="shared" ca="1" si="36"/>
        <v>2</v>
      </c>
      <c r="H251" t="str">
        <f ca="1">VLOOKUP('Master Sheet'!E251,'Code Options'!$A$1:$R$7,5)</f>
        <v>Nick</v>
      </c>
      <c r="I251">
        <f t="shared" ca="1" si="37"/>
        <v>3</v>
      </c>
      <c r="J251" t="str">
        <f ca="1">VLOOKUP('Master Sheet'!G251,'Code Options'!$A$1:$R$7,6)</f>
        <v>State</v>
      </c>
      <c r="K251">
        <f t="shared" ca="1" si="38"/>
        <v>4</v>
      </c>
      <c r="L251" t="str">
        <f ca="1">VLOOKUP('Master Sheet'!I251,'Code Options'!$A$1:$R$7,7)</f>
        <v>Aggregation</v>
      </c>
      <c r="M251">
        <f t="shared" ca="1" si="39"/>
        <v>3</v>
      </c>
      <c r="N251" t="str">
        <f ca="1">VLOOKUP('Master Sheet'!K251,'Code Options'!$A$1:$R$7,8)</f>
        <v>Creation of AR Mat</v>
      </c>
      <c r="O251">
        <f t="shared" ca="1" si="40"/>
        <v>5</v>
      </c>
      <c r="P251" t="str">
        <f ca="1">VLOOKUP('Master Sheet'!E251,'Code Options'!$A$1:$R$7,9)</f>
        <v>State_Plan</v>
      </c>
      <c r="Q251" cm="1">
        <f t="array" aca="1" ref="Q251" ca="1">_xlfn.IFS(P251 ="State_Plan", RANDBETWEEN(1,23), P251 ="State_Code", RANDBETWEEN(1,23), P251 = "Fed_Code", 99, P251 = "Summ_Article", 999, P251 = "Guide", 999)</f>
        <v>5</v>
      </c>
      <c r="R251" t="str">
        <f ca="1">VLOOKUP(Q251,'States and Locations'!$A$1:$B$26,2)</f>
        <v>Connecticut</v>
      </c>
      <c r="S251">
        <f ca="1">VLOOKUP(Q251,'States and Locations'!$A$1:$D$26,3)</f>
        <v>41.6</v>
      </c>
      <c r="T251">
        <f ca="1">VLOOKUP(Q251,'States and Locations'!$A$1:$D$26,4)</f>
        <v>-72.7</v>
      </c>
      <c r="U251">
        <f t="shared" ca="1" si="41"/>
        <v>2</v>
      </c>
      <c r="V251" t="str">
        <f ca="1">VLOOKUP('Master Sheet'!E251,'Code Options'!$A$1:$R$7,10)</f>
        <v>Mitig.</v>
      </c>
      <c r="W251">
        <f t="shared" ca="1" si="42"/>
        <v>2</v>
      </c>
      <c r="X251" t="str">
        <f ca="1">VLOOKUP('Master Sheet'!E251,'Code Options'!$A$1:$R$7,11)</f>
        <v>Chart_Fish</v>
      </c>
      <c r="Y251">
        <f t="shared" ca="1" si="43"/>
        <v>3</v>
      </c>
      <c r="Z251" t="str">
        <f ca="1">VLOOKUP('Master Sheet'!E251,'Code Options'!$A$1:$R$7,12)</f>
        <v>Permit_reg_agencies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D6CF3-5A8F-0C44-827F-D0FAB72A022D}">
  <dimension ref="A1:O251"/>
  <sheetViews>
    <sheetView tabSelected="1" workbookViewId="0">
      <selection activeCell="N1" sqref="N1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</v>
      </c>
      <c r="G1" t="s">
        <v>28</v>
      </c>
      <c r="H1" t="s">
        <v>34</v>
      </c>
      <c r="I1" t="s">
        <v>65</v>
      </c>
      <c r="J1" t="s">
        <v>20</v>
      </c>
      <c r="K1" t="s">
        <v>92</v>
      </c>
      <c r="L1" t="s">
        <v>91</v>
      </c>
      <c r="M1" t="s">
        <v>40</v>
      </c>
      <c r="N1" t="s">
        <v>46</v>
      </c>
      <c r="O1" t="s">
        <v>52</v>
      </c>
    </row>
    <row r="2" spans="1:15" x14ac:dyDescent="0.2">
      <c r="A2" t="s">
        <v>9</v>
      </c>
      <c r="B2" t="s">
        <v>11</v>
      </c>
      <c r="C2" t="s">
        <v>18</v>
      </c>
      <c r="D2">
        <v>0</v>
      </c>
      <c r="E2" t="s">
        <v>20</v>
      </c>
      <c r="F2" t="s">
        <v>27</v>
      </c>
      <c r="G2" t="s">
        <v>32</v>
      </c>
      <c r="H2" t="s">
        <v>39</v>
      </c>
      <c r="I2">
        <v>999</v>
      </c>
      <c r="J2" t="s">
        <v>90</v>
      </c>
      <c r="K2">
        <v>25</v>
      </c>
      <c r="L2">
        <v>-90</v>
      </c>
      <c r="M2" t="s">
        <v>45</v>
      </c>
      <c r="N2" t="s">
        <v>51</v>
      </c>
      <c r="O2" t="s">
        <v>57</v>
      </c>
    </row>
    <row r="3" spans="1:15" x14ac:dyDescent="0.2">
      <c r="A3" t="s">
        <v>7</v>
      </c>
      <c r="B3" t="s">
        <v>12</v>
      </c>
      <c r="C3" t="s">
        <v>14</v>
      </c>
      <c r="D3" t="s">
        <v>14</v>
      </c>
      <c r="E3" t="s">
        <v>19</v>
      </c>
      <c r="F3" t="s">
        <v>24</v>
      </c>
      <c r="G3" t="s">
        <v>29</v>
      </c>
      <c r="H3" t="s">
        <v>35</v>
      </c>
      <c r="I3">
        <v>5</v>
      </c>
      <c r="J3" t="s">
        <v>71</v>
      </c>
      <c r="K3">
        <v>41.6</v>
      </c>
      <c r="L3">
        <v>-72.7</v>
      </c>
      <c r="M3" t="s">
        <v>41</v>
      </c>
      <c r="N3" t="s">
        <v>47</v>
      </c>
      <c r="O3" t="s">
        <v>55</v>
      </c>
    </row>
    <row r="4" spans="1:15" x14ac:dyDescent="0.2">
      <c r="A4" t="s">
        <v>8</v>
      </c>
      <c r="B4" t="s">
        <v>12</v>
      </c>
      <c r="C4" t="s">
        <v>18</v>
      </c>
      <c r="D4">
        <v>0</v>
      </c>
      <c r="E4" t="s">
        <v>20</v>
      </c>
      <c r="F4" t="s">
        <v>26</v>
      </c>
      <c r="G4" t="s">
        <v>29</v>
      </c>
      <c r="H4" t="s">
        <v>39</v>
      </c>
      <c r="I4">
        <v>999</v>
      </c>
      <c r="J4" t="s">
        <v>90</v>
      </c>
      <c r="K4">
        <v>25</v>
      </c>
      <c r="L4">
        <v>-90</v>
      </c>
      <c r="M4" t="s">
        <v>45</v>
      </c>
      <c r="N4" t="s">
        <v>51</v>
      </c>
      <c r="O4" t="s">
        <v>57</v>
      </c>
    </row>
    <row r="5" spans="1:15" x14ac:dyDescent="0.2">
      <c r="A5" t="s">
        <v>7</v>
      </c>
      <c r="B5" t="s">
        <v>12</v>
      </c>
      <c r="C5" t="s">
        <v>17</v>
      </c>
      <c r="D5">
        <v>0</v>
      </c>
      <c r="E5" t="s">
        <v>19</v>
      </c>
      <c r="F5" t="s">
        <v>27</v>
      </c>
      <c r="G5" t="s">
        <v>31</v>
      </c>
      <c r="H5" t="s">
        <v>38</v>
      </c>
      <c r="I5">
        <v>999</v>
      </c>
      <c r="J5" t="s">
        <v>90</v>
      </c>
      <c r="K5">
        <v>25</v>
      </c>
      <c r="L5">
        <v>-90</v>
      </c>
      <c r="M5" t="s">
        <v>44</v>
      </c>
      <c r="N5" t="s">
        <v>50</v>
      </c>
      <c r="O5" t="s">
        <v>56</v>
      </c>
    </row>
    <row r="6" spans="1:15" x14ac:dyDescent="0.2">
      <c r="A6" t="s">
        <v>9</v>
      </c>
      <c r="B6" t="s">
        <v>13</v>
      </c>
      <c r="C6" t="s">
        <v>15</v>
      </c>
      <c r="D6" t="s">
        <v>15</v>
      </c>
      <c r="E6" t="s">
        <v>19</v>
      </c>
      <c r="F6" t="s">
        <v>25</v>
      </c>
      <c r="G6" t="s">
        <v>31</v>
      </c>
      <c r="H6" t="s">
        <v>36</v>
      </c>
      <c r="I6">
        <v>99</v>
      </c>
      <c r="J6" t="s">
        <v>22</v>
      </c>
      <c r="K6">
        <v>39.833300000000001</v>
      </c>
      <c r="L6">
        <v>-98.583299999999994</v>
      </c>
      <c r="M6" t="s">
        <v>42</v>
      </c>
      <c r="N6" t="s">
        <v>48</v>
      </c>
      <c r="O6" t="s">
        <v>54</v>
      </c>
    </row>
    <row r="7" spans="1:15" x14ac:dyDescent="0.2">
      <c r="A7" t="s">
        <v>5</v>
      </c>
      <c r="B7" t="s">
        <v>11</v>
      </c>
      <c r="C7" t="s">
        <v>14</v>
      </c>
      <c r="D7" t="s">
        <v>14</v>
      </c>
      <c r="E7" t="s">
        <v>20</v>
      </c>
      <c r="F7" t="s">
        <v>24</v>
      </c>
      <c r="G7" t="s">
        <v>30</v>
      </c>
      <c r="H7" t="s">
        <v>35</v>
      </c>
      <c r="I7">
        <v>12</v>
      </c>
      <c r="J7" t="s">
        <v>78</v>
      </c>
      <c r="K7">
        <v>33.833300000000001</v>
      </c>
      <c r="L7">
        <v>-81.166700000000006</v>
      </c>
      <c r="M7" t="s">
        <v>41</v>
      </c>
      <c r="N7" t="s">
        <v>47</v>
      </c>
      <c r="O7" t="s">
        <v>55</v>
      </c>
    </row>
    <row r="8" spans="1:15" x14ac:dyDescent="0.2">
      <c r="A8" t="s">
        <v>7</v>
      </c>
      <c r="B8" t="s">
        <v>12</v>
      </c>
      <c r="C8" t="s">
        <v>14</v>
      </c>
      <c r="D8" t="s">
        <v>14</v>
      </c>
      <c r="E8" t="s">
        <v>20</v>
      </c>
      <c r="F8" t="s">
        <v>24</v>
      </c>
      <c r="G8" t="s">
        <v>29</v>
      </c>
      <c r="H8" t="s">
        <v>35</v>
      </c>
      <c r="I8">
        <v>3</v>
      </c>
      <c r="J8" t="s">
        <v>69</v>
      </c>
      <c r="K8">
        <v>42.4</v>
      </c>
      <c r="L8">
        <v>-71.383300000000006</v>
      </c>
      <c r="M8" t="s">
        <v>41</v>
      </c>
      <c r="N8" t="s">
        <v>47</v>
      </c>
      <c r="O8" t="s">
        <v>55</v>
      </c>
    </row>
    <row r="9" spans="1:15" x14ac:dyDescent="0.2">
      <c r="A9" t="s">
        <v>5</v>
      </c>
      <c r="B9" t="s">
        <v>12</v>
      </c>
      <c r="C9" t="s">
        <v>14</v>
      </c>
      <c r="D9" t="s">
        <v>14</v>
      </c>
      <c r="E9" t="s">
        <v>21</v>
      </c>
      <c r="F9" t="s">
        <v>27</v>
      </c>
      <c r="G9" t="s">
        <v>30</v>
      </c>
      <c r="H9" t="s">
        <v>35</v>
      </c>
      <c r="I9">
        <v>12</v>
      </c>
      <c r="J9" t="s">
        <v>78</v>
      </c>
      <c r="K9">
        <v>33.833300000000001</v>
      </c>
      <c r="L9">
        <v>-81.166700000000006</v>
      </c>
      <c r="M9" t="s">
        <v>41</v>
      </c>
      <c r="N9" t="s">
        <v>47</v>
      </c>
      <c r="O9" t="s">
        <v>55</v>
      </c>
    </row>
    <row r="10" spans="1:15" x14ac:dyDescent="0.2">
      <c r="A10" t="s">
        <v>6</v>
      </c>
      <c r="B10" t="s">
        <v>13</v>
      </c>
      <c r="C10" t="s">
        <v>14</v>
      </c>
      <c r="D10" t="s">
        <v>14</v>
      </c>
      <c r="E10" t="s">
        <v>21</v>
      </c>
      <c r="F10" t="s">
        <v>25</v>
      </c>
      <c r="G10" t="s">
        <v>32</v>
      </c>
      <c r="H10" t="s">
        <v>35</v>
      </c>
      <c r="I10">
        <v>20</v>
      </c>
      <c r="J10" t="s">
        <v>86</v>
      </c>
      <c r="K10">
        <v>43.933300000000003</v>
      </c>
      <c r="L10">
        <v>-120.5667</v>
      </c>
      <c r="M10" t="s">
        <v>41</v>
      </c>
      <c r="N10" t="s">
        <v>47</v>
      </c>
      <c r="O10" t="s">
        <v>55</v>
      </c>
    </row>
    <row r="11" spans="1:15" x14ac:dyDescent="0.2">
      <c r="A11" t="s">
        <v>5</v>
      </c>
      <c r="B11" t="s">
        <v>12</v>
      </c>
      <c r="C11" t="s">
        <v>18</v>
      </c>
      <c r="D11">
        <v>0</v>
      </c>
      <c r="E11" t="s">
        <v>20</v>
      </c>
      <c r="F11" t="s">
        <v>26</v>
      </c>
      <c r="G11" t="s">
        <v>32</v>
      </c>
      <c r="H11" t="s">
        <v>39</v>
      </c>
      <c r="I11">
        <v>999</v>
      </c>
      <c r="J11" t="s">
        <v>90</v>
      </c>
      <c r="K11">
        <v>25</v>
      </c>
      <c r="L11">
        <v>-90</v>
      </c>
      <c r="M11" t="s">
        <v>45</v>
      </c>
      <c r="N11" t="s">
        <v>51</v>
      </c>
      <c r="O11" t="s">
        <v>57</v>
      </c>
    </row>
    <row r="12" spans="1:15" x14ac:dyDescent="0.2">
      <c r="A12" t="s">
        <v>10</v>
      </c>
      <c r="B12" t="s">
        <v>12</v>
      </c>
      <c r="C12" t="s">
        <v>16</v>
      </c>
      <c r="D12" t="s">
        <v>18</v>
      </c>
      <c r="E12" t="s">
        <v>20</v>
      </c>
      <c r="F12" t="s">
        <v>26</v>
      </c>
      <c r="G12" t="s">
        <v>29</v>
      </c>
      <c r="H12" t="s">
        <v>37</v>
      </c>
      <c r="I12">
        <v>23</v>
      </c>
      <c r="J12" t="s">
        <v>89</v>
      </c>
      <c r="K12">
        <v>20.95</v>
      </c>
      <c r="L12">
        <v>-157.2833</v>
      </c>
      <c r="M12" t="s">
        <v>43</v>
      </c>
      <c r="N12" t="s">
        <v>49</v>
      </c>
      <c r="O12" t="s">
        <v>53</v>
      </c>
    </row>
    <row r="13" spans="1:15" x14ac:dyDescent="0.2">
      <c r="A13" t="s">
        <v>10</v>
      </c>
      <c r="B13" t="s">
        <v>11</v>
      </c>
      <c r="C13" t="s">
        <v>16</v>
      </c>
      <c r="D13" t="s">
        <v>18</v>
      </c>
      <c r="E13" t="s">
        <v>21</v>
      </c>
      <c r="F13" t="s">
        <v>26</v>
      </c>
      <c r="G13" t="s">
        <v>29</v>
      </c>
      <c r="H13" t="s">
        <v>37</v>
      </c>
      <c r="I13">
        <v>9</v>
      </c>
      <c r="J13" t="s">
        <v>75</v>
      </c>
      <c r="K13">
        <v>39.049999999999997</v>
      </c>
      <c r="L13">
        <v>-76.633300000000006</v>
      </c>
      <c r="M13" t="s">
        <v>43</v>
      </c>
      <c r="N13" t="s">
        <v>49</v>
      </c>
      <c r="O13" t="s">
        <v>53</v>
      </c>
    </row>
    <row r="14" spans="1:15" x14ac:dyDescent="0.2">
      <c r="A14" t="s">
        <v>9</v>
      </c>
      <c r="B14" t="s">
        <v>12</v>
      </c>
      <c r="C14" t="s">
        <v>16</v>
      </c>
      <c r="D14" t="s">
        <v>18</v>
      </c>
      <c r="E14" t="s">
        <v>21</v>
      </c>
      <c r="F14" t="s">
        <v>27</v>
      </c>
      <c r="G14" t="s">
        <v>29</v>
      </c>
      <c r="H14" t="s">
        <v>37</v>
      </c>
      <c r="I14">
        <v>21</v>
      </c>
      <c r="J14" t="s">
        <v>87</v>
      </c>
      <c r="K14">
        <v>47.75</v>
      </c>
      <c r="L14">
        <v>-120.7333</v>
      </c>
      <c r="M14" t="s">
        <v>43</v>
      </c>
      <c r="N14" t="s">
        <v>49</v>
      </c>
      <c r="O14" t="s">
        <v>53</v>
      </c>
    </row>
    <row r="15" spans="1:15" x14ac:dyDescent="0.2">
      <c r="A15" t="s">
        <v>10</v>
      </c>
      <c r="B15" t="s">
        <v>13</v>
      </c>
      <c r="C15" t="s">
        <v>14</v>
      </c>
      <c r="D15" t="s">
        <v>14</v>
      </c>
      <c r="E15" t="s">
        <v>21</v>
      </c>
      <c r="F15" t="s">
        <v>27</v>
      </c>
      <c r="G15" t="s">
        <v>31</v>
      </c>
      <c r="H15" t="s">
        <v>35</v>
      </c>
      <c r="I15">
        <v>7</v>
      </c>
      <c r="J15" t="s">
        <v>73</v>
      </c>
      <c r="K15">
        <v>39.833300000000001</v>
      </c>
      <c r="L15">
        <v>-74.866699999999994</v>
      </c>
      <c r="M15" t="s">
        <v>41</v>
      </c>
      <c r="N15" t="s">
        <v>47</v>
      </c>
      <c r="O15" t="s">
        <v>55</v>
      </c>
    </row>
    <row r="16" spans="1:15" x14ac:dyDescent="0.2">
      <c r="A16" t="s">
        <v>10</v>
      </c>
      <c r="B16" t="s">
        <v>12</v>
      </c>
      <c r="C16" t="s">
        <v>16</v>
      </c>
      <c r="D16" t="s">
        <v>18</v>
      </c>
      <c r="E16" t="s">
        <v>21</v>
      </c>
      <c r="F16" t="s">
        <v>27</v>
      </c>
      <c r="G16" t="s">
        <v>32</v>
      </c>
      <c r="H16" t="s">
        <v>37</v>
      </c>
      <c r="I16">
        <v>15</v>
      </c>
      <c r="J16" t="s">
        <v>81</v>
      </c>
      <c r="K16">
        <v>31.466699999999999</v>
      </c>
      <c r="L16">
        <v>-99.333299999999994</v>
      </c>
      <c r="M16" t="s">
        <v>43</v>
      </c>
      <c r="N16" t="s">
        <v>49</v>
      </c>
      <c r="O16" t="s">
        <v>53</v>
      </c>
    </row>
    <row r="17" spans="1:15" x14ac:dyDescent="0.2">
      <c r="A17" t="s">
        <v>10</v>
      </c>
      <c r="B17" t="s">
        <v>11</v>
      </c>
      <c r="C17" t="s">
        <v>18</v>
      </c>
      <c r="D17">
        <v>0</v>
      </c>
      <c r="E17" t="s">
        <v>19</v>
      </c>
      <c r="F17" t="s">
        <v>25</v>
      </c>
      <c r="G17" t="s">
        <v>30</v>
      </c>
      <c r="H17" t="s">
        <v>39</v>
      </c>
      <c r="I17">
        <v>999</v>
      </c>
      <c r="J17" t="s">
        <v>90</v>
      </c>
      <c r="K17">
        <v>25</v>
      </c>
      <c r="L17">
        <v>-90</v>
      </c>
      <c r="M17" t="s">
        <v>45</v>
      </c>
      <c r="N17" t="s">
        <v>51</v>
      </c>
      <c r="O17" t="s">
        <v>57</v>
      </c>
    </row>
    <row r="18" spans="1:15" x14ac:dyDescent="0.2">
      <c r="A18" t="s">
        <v>7</v>
      </c>
      <c r="B18" t="s">
        <v>12</v>
      </c>
      <c r="C18" t="s">
        <v>18</v>
      </c>
      <c r="D18">
        <v>0</v>
      </c>
      <c r="E18" t="s">
        <v>20</v>
      </c>
      <c r="F18" t="s">
        <v>25</v>
      </c>
      <c r="G18" t="s">
        <v>31</v>
      </c>
      <c r="H18" t="s">
        <v>39</v>
      </c>
      <c r="I18">
        <v>999</v>
      </c>
      <c r="J18" t="s">
        <v>90</v>
      </c>
      <c r="K18">
        <v>25</v>
      </c>
      <c r="L18">
        <v>-90</v>
      </c>
      <c r="M18" t="s">
        <v>45</v>
      </c>
      <c r="N18" t="s">
        <v>51</v>
      </c>
      <c r="O18" t="s">
        <v>57</v>
      </c>
    </row>
    <row r="19" spans="1:15" x14ac:dyDescent="0.2">
      <c r="A19" t="s">
        <v>7</v>
      </c>
      <c r="B19" t="s">
        <v>12</v>
      </c>
      <c r="C19" t="s">
        <v>14</v>
      </c>
      <c r="D19" t="s">
        <v>14</v>
      </c>
      <c r="E19" t="s">
        <v>19</v>
      </c>
      <c r="F19" t="s">
        <v>26</v>
      </c>
      <c r="G19" t="s">
        <v>29</v>
      </c>
      <c r="H19" t="s">
        <v>35</v>
      </c>
      <c r="I19">
        <v>5</v>
      </c>
      <c r="J19" t="s">
        <v>71</v>
      </c>
      <c r="K19">
        <v>41.6</v>
      </c>
      <c r="L19">
        <v>-72.7</v>
      </c>
      <c r="M19" t="s">
        <v>41</v>
      </c>
      <c r="N19" t="s">
        <v>47</v>
      </c>
      <c r="O19" t="s">
        <v>55</v>
      </c>
    </row>
    <row r="20" spans="1:15" x14ac:dyDescent="0.2">
      <c r="A20" t="s">
        <v>6</v>
      </c>
      <c r="B20" t="s">
        <v>12</v>
      </c>
      <c r="C20" t="s">
        <v>16</v>
      </c>
      <c r="D20" t="s">
        <v>18</v>
      </c>
      <c r="E20" t="s">
        <v>19</v>
      </c>
      <c r="F20" t="s">
        <v>26</v>
      </c>
      <c r="G20" t="s">
        <v>32</v>
      </c>
      <c r="H20" t="s">
        <v>37</v>
      </c>
      <c r="I20">
        <v>18</v>
      </c>
      <c r="J20" t="s">
        <v>84</v>
      </c>
      <c r="K20">
        <v>32.833300000000001</v>
      </c>
      <c r="L20">
        <v>-86.633300000000006</v>
      </c>
      <c r="M20" t="s">
        <v>43</v>
      </c>
      <c r="N20" t="s">
        <v>49</v>
      </c>
      <c r="O20" t="s">
        <v>53</v>
      </c>
    </row>
    <row r="21" spans="1:15" x14ac:dyDescent="0.2">
      <c r="A21" t="s">
        <v>10</v>
      </c>
      <c r="B21" t="s">
        <v>12</v>
      </c>
      <c r="C21" t="s">
        <v>15</v>
      </c>
      <c r="D21" t="s">
        <v>15</v>
      </c>
      <c r="E21" t="s">
        <v>21</v>
      </c>
      <c r="F21" t="s">
        <v>26</v>
      </c>
      <c r="G21" t="s">
        <v>30</v>
      </c>
      <c r="H21" t="s">
        <v>36</v>
      </c>
      <c r="I21">
        <v>99</v>
      </c>
      <c r="J21" t="s">
        <v>22</v>
      </c>
      <c r="K21">
        <v>39.833300000000001</v>
      </c>
      <c r="L21">
        <v>-98.583299999999994</v>
      </c>
      <c r="M21" t="s">
        <v>42</v>
      </c>
      <c r="N21" t="s">
        <v>48</v>
      </c>
      <c r="O21" t="s">
        <v>54</v>
      </c>
    </row>
    <row r="22" spans="1:15" x14ac:dyDescent="0.2">
      <c r="A22" t="s">
        <v>9</v>
      </c>
      <c r="B22" t="s">
        <v>12</v>
      </c>
      <c r="C22" t="s">
        <v>16</v>
      </c>
      <c r="D22" t="s">
        <v>18</v>
      </c>
      <c r="E22" t="s">
        <v>21</v>
      </c>
      <c r="F22" t="s">
        <v>25</v>
      </c>
      <c r="G22" t="s">
        <v>29</v>
      </c>
      <c r="H22" t="s">
        <v>37</v>
      </c>
      <c r="I22">
        <v>22</v>
      </c>
      <c r="J22" t="s">
        <v>88</v>
      </c>
      <c r="K22">
        <v>64.7333</v>
      </c>
      <c r="L22">
        <v>-152.4667</v>
      </c>
      <c r="M22" t="s">
        <v>43</v>
      </c>
      <c r="N22" t="s">
        <v>49</v>
      </c>
      <c r="O22" t="s">
        <v>53</v>
      </c>
    </row>
    <row r="23" spans="1:15" x14ac:dyDescent="0.2">
      <c r="A23" t="s">
        <v>9</v>
      </c>
      <c r="B23" t="s">
        <v>13</v>
      </c>
      <c r="C23" t="s">
        <v>14</v>
      </c>
      <c r="D23" t="s">
        <v>14</v>
      </c>
      <c r="E23" t="s">
        <v>20</v>
      </c>
      <c r="F23" t="s">
        <v>24</v>
      </c>
      <c r="G23" t="s">
        <v>30</v>
      </c>
      <c r="H23" t="s">
        <v>35</v>
      </c>
      <c r="I23">
        <v>8</v>
      </c>
      <c r="J23" t="s">
        <v>74</v>
      </c>
      <c r="K23">
        <v>38.9833</v>
      </c>
      <c r="L23">
        <v>-75.5167</v>
      </c>
      <c r="M23" t="s">
        <v>41</v>
      </c>
      <c r="N23" t="s">
        <v>47</v>
      </c>
      <c r="O23" t="s">
        <v>55</v>
      </c>
    </row>
    <row r="24" spans="1:15" x14ac:dyDescent="0.2">
      <c r="A24" t="s">
        <v>10</v>
      </c>
      <c r="B24" t="s">
        <v>11</v>
      </c>
      <c r="C24" t="s">
        <v>17</v>
      </c>
      <c r="D24">
        <v>0</v>
      </c>
      <c r="E24" t="s">
        <v>21</v>
      </c>
      <c r="F24" t="s">
        <v>27</v>
      </c>
      <c r="G24" t="s">
        <v>29</v>
      </c>
      <c r="H24" t="s">
        <v>38</v>
      </c>
      <c r="I24">
        <v>999</v>
      </c>
      <c r="J24" t="s">
        <v>90</v>
      </c>
      <c r="K24">
        <v>25</v>
      </c>
      <c r="L24">
        <v>-90</v>
      </c>
      <c r="M24" t="s">
        <v>44</v>
      </c>
      <c r="N24" t="s">
        <v>50</v>
      </c>
      <c r="O24" t="s">
        <v>56</v>
      </c>
    </row>
    <row r="25" spans="1:15" x14ac:dyDescent="0.2">
      <c r="A25" t="s">
        <v>7</v>
      </c>
      <c r="B25" t="s">
        <v>12</v>
      </c>
      <c r="C25" t="s">
        <v>18</v>
      </c>
      <c r="D25">
        <v>0</v>
      </c>
      <c r="E25" t="s">
        <v>21</v>
      </c>
      <c r="F25" t="s">
        <v>27</v>
      </c>
      <c r="G25" t="s">
        <v>30</v>
      </c>
      <c r="H25" t="s">
        <v>39</v>
      </c>
      <c r="I25">
        <v>999</v>
      </c>
      <c r="J25" t="s">
        <v>90</v>
      </c>
      <c r="K25">
        <v>25</v>
      </c>
      <c r="L25">
        <v>-90</v>
      </c>
      <c r="M25" t="s">
        <v>45</v>
      </c>
      <c r="N25" t="s">
        <v>51</v>
      </c>
      <c r="O25" t="s">
        <v>57</v>
      </c>
    </row>
    <row r="26" spans="1:15" x14ac:dyDescent="0.2">
      <c r="A26" t="s">
        <v>6</v>
      </c>
      <c r="B26" t="s">
        <v>12</v>
      </c>
      <c r="C26" t="s">
        <v>18</v>
      </c>
      <c r="D26">
        <v>0</v>
      </c>
      <c r="E26" t="s">
        <v>21</v>
      </c>
      <c r="F26" t="s">
        <v>25</v>
      </c>
      <c r="G26" t="s">
        <v>32</v>
      </c>
      <c r="H26" t="s">
        <v>39</v>
      </c>
      <c r="I26">
        <v>999</v>
      </c>
      <c r="J26" t="s">
        <v>90</v>
      </c>
      <c r="K26">
        <v>25</v>
      </c>
      <c r="L26">
        <v>-90</v>
      </c>
      <c r="M26" t="s">
        <v>45</v>
      </c>
      <c r="N26" t="s">
        <v>51</v>
      </c>
      <c r="O26" t="s">
        <v>57</v>
      </c>
    </row>
    <row r="27" spans="1:15" x14ac:dyDescent="0.2">
      <c r="A27" t="s">
        <v>10</v>
      </c>
      <c r="B27" t="s">
        <v>11</v>
      </c>
      <c r="C27" t="s">
        <v>16</v>
      </c>
      <c r="D27" t="s">
        <v>18</v>
      </c>
      <c r="E27" t="s">
        <v>19</v>
      </c>
      <c r="F27" t="s">
        <v>27</v>
      </c>
      <c r="G27" t="s">
        <v>29</v>
      </c>
      <c r="H27" t="s">
        <v>37</v>
      </c>
      <c r="I27">
        <v>21</v>
      </c>
      <c r="J27" t="s">
        <v>87</v>
      </c>
      <c r="K27">
        <v>47.75</v>
      </c>
      <c r="L27">
        <v>-120.7333</v>
      </c>
      <c r="M27" t="s">
        <v>43</v>
      </c>
      <c r="N27" t="s">
        <v>49</v>
      </c>
      <c r="O27" t="s">
        <v>53</v>
      </c>
    </row>
    <row r="28" spans="1:15" x14ac:dyDescent="0.2">
      <c r="A28" t="s">
        <v>5</v>
      </c>
      <c r="B28" t="s">
        <v>13</v>
      </c>
      <c r="C28" t="s">
        <v>18</v>
      </c>
      <c r="D28">
        <v>0</v>
      </c>
      <c r="E28" t="s">
        <v>19</v>
      </c>
      <c r="F28" t="s">
        <v>26</v>
      </c>
      <c r="G28" t="s">
        <v>32</v>
      </c>
      <c r="H28" t="s">
        <v>39</v>
      </c>
      <c r="I28">
        <v>999</v>
      </c>
      <c r="J28" t="s">
        <v>90</v>
      </c>
      <c r="K28">
        <v>25</v>
      </c>
      <c r="L28">
        <v>-90</v>
      </c>
      <c r="M28" t="s">
        <v>45</v>
      </c>
      <c r="N28" t="s">
        <v>51</v>
      </c>
      <c r="O28" t="s">
        <v>57</v>
      </c>
    </row>
    <row r="29" spans="1:15" x14ac:dyDescent="0.2">
      <c r="A29" t="s">
        <v>8</v>
      </c>
      <c r="B29" t="s">
        <v>12</v>
      </c>
      <c r="C29" t="s">
        <v>16</v>
      </c>
      <c r="D29" t="s">
        <v>18</v>
      </c>
      <c r="E29" t="s">
        <v>19</v>
      </c>
      <c r="F29" t="s">
        <v>27</v>
      </c>
      <c r="G29" t="s">
        <v>29</v>
      </c>
      <c r="H29" t="s">
        <v>37</v>
      </c>
      <c r="I29">
        <v>9</v>
      </c>
      <c r="J29" t="s">
        <v>75</v>
      </c>
      <c r="K29">
        <v>39.049999999999997</v>
      </c>
      <c r="L29">
        <v>-76.633300000000006</v>
      </c>
      <c r="M29" t="s">
        <v>43</v>
      </c>
      <c r="N29" t="s">
        <v>49</v>
      </c>
      <c r="O29" t="s">
        <v>53</v>
      </c>
    </row>
    <row r="30" spans="1:15" x14ac:dyDescent="0.2">
      <c r="A30" t="s">
        <v>8</v>
      </c>
      <c r="B30" t="s">
        <v>13</v>
      </c>
      <c r="C30" t="s">
        <v>15</v>
      </c>
      <c r="D30" t="s">
        <v>15</v>
      </c>
      <c r="E30" t="s">
        <v>21</v>
      </c>
      <c r="F30" t="s">
        <v>25</v>
      </c>
      <c r="G30" t="s">
        <v>32</v>
      </c>
      <c r="H30" t="s">
        <v>36</v>
      </c>
      <c r="I30">
        <v>99</v>
      </c>
      <c r="J30" t="s">
        <v>22</v>
      </c>
      <c r="K30">
        <v>39.833300000000001</v>
      </c>
      <c r="L30">
        <v>-98.583299999999994</v>
      </c>
      <c r="M30" t="s">
        <v>42</v>
      </c>
      <c r="N30" t="s">
        <v>48</v>
      </c>
      <c r="O30" t="s">
        <v>54</v>
      </c>
    </row>
    <row r="31" spans="1:15" x14ac:dyDescent="0.2">
      <c r="A31" t="s">
        <v>7</v>
      </c>
      <c r="B31" t="s">
        <v>11</v>
      </c>
      <c r="C31" t="s">
        <v>16</v>
      </c>
      <c r="D31" t="s">
        <v>18</v>
      </c>
      <c r="E31" t="s">
        <v>20</v>
      </c>
      <c r="F31" t="s">
        <v>27</v>
      </c>
      <c r="G31" t="s">
        <v>30</v>
      </c>
      <c r="H31" t="s">
        <v>37</v>
      </c>
      <c r="I31">
        <v>13</v>
      </c>
      <c r="J31" t="s">
        <v>79</v>
      </c>
      <c r="K31">
        <v>32.716700000000003</v>
      </c>
      <c r="L31">
        <v>-83.5</v>
      </c>
      <c r="M31" t="s">
        <v>43</v>
      </c>
      <c r="N31" t="s">
        <v>49</v>
      </c>
      <c r="O31" t="s">
        <v>53</v>
      </c>
    </row>
    <row r="32" spans="1:15" x14ac:dyDescent="0.2">
      <c r="A32" t="s">
        <v>6</v>
      </c>
      <c r="B32" t="s">
        <v>11</v>
      </c>
      <c r="C32" t="s">
        <v>15</v>
      </c>
      <c r="D32" t="s">
        <v>15</v>
      </c>
      <c r="E32" t="s">
        <v>19</v>
      </c>
      <c r="F32" t="s">
        <v>25</v>
      </c>
      <c r="G32" t="s">
        <v>31</v>
      </c>
      <c r="H32" t="s">
        <v>36</v>
      </c>
      <c r="I32">
        <v>99</v>
      </c>
      <c r="J32" t="s">
        <v>22</v>
      </c>
      <c r="K32">
        <v>39.833300000000001</v>
      </c>
      <c r="L32">
        <v>-98.583299999999994</v>
      </c>
      <c r="M32" t="s">
        <v>42</v>
      </c>
      <c r="N32" t="s">
        <v>48</v>
      </c>
      <c r="O32" t="s">
        <v>54</v>
      </c>
    </row>
    <row r="33" spans="1:15" x14ac:dyDescent="0.2">
      <c r="A33" t="s">
        <v>9</v>
      </c>
      <c r="B33" t="s">
        <v>11</v>
      </c>
      <c r="C33" t="s">
        <v>15</v>
      </c>
      <c r="D33" t="s">
        <v>15</v>
      </c>
      <c r="E33" t="s">
        <v>21</v>
      </c>
      <c r="F33" t="s">
        <v>25</v>
      </c>
      <c r="G33" t="s">
        <v>31</v>
      </c>
      <c r="H33" t="s">
        <v>36</v>
      </c>
      <c r="I33">
        <v>99</v>
      </c>
      <c r="J33" t="s">
        <v>22</v>
      </c>
      <c r="K33">
        <v>39.833300000000001</v>
      </c>
      <c r="L33">
        <v>-98.583299999999994</v>
      </c>
      <c r="M33" t="s">
        <v>42</v>
      </c>
      <c r="N33" t="s">
        <v>48</v>
      </c>
      <c r="O33" t="s">
        <v>54</v>
      </c>
    </row>
    <row r="34" spans="1:15" x14ac:dyDescent="0.2">
      <c r="A34" t="s">
        <v>6</v>
      </c>
      <c r="B34" t="s">
        <v>11</v>
      </c>
      <c r="C34" t="s">
        <v>14</v>
      </c>
      <c r="D34" t="s">
        <v>14</v>
      </c>
      <c r="E34" t="s">
        <v>20</v>
      </c>
      <c r="F34" t="s">
        <v>25</v>
      </c>
      <c r="G34" t="s">
        <v>31</v>
      </c>
      <c r="H34" t="s">
        <v>35</v>
      </c>
      <c r="I34">
        <v>9</v>
      </c>
      <c r="J34" t="s">
        <v>75</v>
      </c>
      <c r="K34">
        <v>39.049999999999997</v>
      </c>
      <c r="L34">
        <v>-76.633300000000006</v>
      </c>
      <c r="M34" t="s">
        <v>41</v>
      </c>
      <c r="N34" t="s">
        <v>47</v>
      </c>
      <c r="O34" t="s">
        <v>55</v>
      </c>
    </row>
    <row r="35" spans="1:15" x14ac:dyDescent="0.2">
      <c r="A35" t="s">
        <v>6</v>
      </c>
      <c r="B35" t="s">
        <v>11</v>
      </c>
      <c r="C35" t="s">
        <v>14</v>
      </c>
      <c r="D35" t="s">
        <v>14</v>
      </c>
      <c r="E35" t="s">
        <v>21</v>
      </c>
      <c r="F35" t="s">
        <v>25</v>
      </c>
      <c r="G35" t="s">
        <v>32</v>
      </c>
      <c r="H35" t="s">
        <v>35</v>
      </c>
      <c r="I35">
        <v>10</v>
      </c>
      <c r="J35" t="s">
        <v>76</v>
      </c>
      <c r="K35">
        <v>37.5167</v>
      </c>
      <c r="L35">
        <v>-78.633300000000006</v>
      </c>
      <c r="M35" t="s">
        <v>41</v>
      </c>
      <c r="N35" t="s">
        <v>47</v>
      </c>
      <c r="O35" t="s">
        <v>55</v>
      </c>
    </row>
    <row r="36" spans="1:15" x14ac:dyDescent="0.2">
      <c r="A36" t="s">
        <v>8</v>
      </c>
      <c r="B36" t="s">
        <v>11</v>
      </c>
      <c r="C36" t="s">
        <v>18</v>
      </c>
      <c r="D36">
        <v>0</v>
      </c>
      <c r="E36" t="s">
        <v>21</v>
      </c>
      <c r="F36" t="s">
        <v>24</v>
      </c>
      <c r="G36" t="s">
        <v>32</v>
      </c>
      <c r="H36" t="s">
        <v>39</v>
      </c>
      <c r="I36">
        <v>999</v>
      </c>
      <c r="J36" t="s">
        <v>90</v>
      </c>
      <c r="K36">
        <v>25</v>
      </c>
      <c r="L36">
        <v>-90</v>
      </c>
      <c r="M36" t="s">
        <v>45</v>
      </c>
      <c r="N36" t="s">
        <v>51</v>
      </c>
      <c r="O36" t="s">
        <v>57</v>
      </c>
    </row>
    <row r="37" spans="1:15" x14ac:dyDescent="0.2">
      <c r="A37" t="s">
        <v>6</v>
      </c>
      <c r="B37" t="s">
        <v>12</v>
      </c>
      <c r="C37" t="s">
        <v>15</v>
      </c>
      <c r="D37" t="s">
        <v>15</v>
      </c>
      <c r="E37" t="s">
        <v>19</v>
      </c>
      <c r="F37" t="s">
        <v>27</v>
      </c>
      <c r="G37" t="s">
        <v>29</v>
      </c>
      <c r="H37" t="s">
        <v>36</v>
      </c>
      <c r="I37">
        <v>99</v>
      </c>
      <c r="J37" t="s">
        <v>22</v>
      </c>
      <c r="K37">
        <v>39.833300000000001</v>
      </c>
      <c r="L37">
        <v>-98.583299999999994</v>
      </c>
      <c r="M37" t="s">
        <v>42</v>
      </c>
      <c r="N37" t="s">
        <v>48</v>
      </c>
      <c r="O37" t="s">
        <v>54</v>
      </c>
    </row>
    <row r="38" spans="1:15" x14ac:dyDescent="0.2">
      <c r="A38" t="s">
        <v>7</v>
      </c>
      <c r="B38" t="s">
        <v>12</v>
      </c>
      <c r="C38" t="s">
        <v>15</v>
      </c>
      <c r="D38" t="s">
        <v>15</v>
      </c>
      <c r="E38" t="s">
        <v>21</v>
      </c>
      <c r="F38" t="s">
        <v>25</v>
      </c>
      <c r="G38" t="s">
        <v>31</v>
      </c>
      <c r="H38" t="s">
        <v>36</v>
      </c>
      <c r="I38">
        <v>99</v>
      </c>
      <c r="J38" t="s">
        <v>22</v>
      </c>
      <c r="K38">
        <v>39.833300000000001</v>
      </c>
      <c r="L38">
        <v>-98.583299999999994</v>
      </c>
      <c r="M38" t="s">
        <v>42</v>
      </c>
      <c r="N38" t="s">
        <v>48</v>
      </c>
      <c r="O38" t="s">
        <v>54</v>
      </c>
    </row>
    <row r="39" spans="1:15" x14ac:dyDescent="0.2">
      <c r="A39" t="s">
        <v>6</v>
      </c>
      <c r="B39" t="s">
        <v>11</v>
      </c>
      <c r="C39" t="s">
        <v>15</v>
      </c>
      <c r="D39" t="s">
        <v>15</v>
      </c>
      <c r="E39" t="s">
        <v>21</v>
      </c>
      <c r="F39" t="s">
        <v>27</v>
      </c>
      <c r="G39" t="s">
        <v>30</v>
      </c>
      <c r="H39" t="s">
        <v>36</v>
      </c>
      <c r="I39">
        <v>99</v>
      </c>
      <c r="J39" t="s">
        <v>22</v>
      </c>
      <c r="K39">
        <v>39.833300000000001</v>
      </c>
      <c r="L39">
        <v>-98.583299999999994</v>
      </c>
      <c r="M39" t="s">
        <v>42</v>
      </c>
      <c r="N39" t="s">
        <v>48</v>
      </c>
      <c r="O39" t="s">
        <v>54</v>
      </c>
    </row>
    <row r="40" spans="1:15" x14ac:dyDescent="0.2">
      <c r="A40" t="s">
        <v>8</v>
      </c>
      <c r="B40" t="s">
        <v>11</v>
      </c>
      <c r="C40" t="s">
        <v>14</v>
      </c>
      <c r="D40" t="s">
        <v>14</v>
      </c>
      <c r="E40" t="s">
        <v>20</v>
      </c>
      <c r="F40" t="s">
        <v>24</v>
      </c>
      <c r="G40" t="s">
        <v>31</v>
      </c>
      <c r="H40" t="s">
        <v>35</v>
      </c>
      <c r="I40">
        <v>13</v>
      </c>
      <c r="J40" t="s">
        <v>79</v>
      </c>
      <c r="K40">
        <v>32.716700000000003</v>
      </c>
      <c r="L40">
        <v>-83.5</v>
      </c>
      <c r="M40" t="s">
        <v>41</v>
      </c>
      <c r="N40" t="s">
        <v>47</v>
      </c>
      <c r="O40" t="s">
        <v>55</v>
      </c>
    </row>
    <row r="41" spans="1:15" x14ac:dyDescent="0.2">
      <c r="A41" t="s">
        <v>6</v>
      </c>
      <c r="B41" t="s">
        <v>11</v>
      </c>
      <c r="C41" t="s">
        <v>17</v>
      </c>
      <c r="D41">
        <v>0</v>
      </c>
      <c r="E41" t="s">
        <v>21</v>
      </c>
      <c r="F41" t="s">
        <v>24</v>
      </c>
      <c r="G41" t="s">
        <v>32</v>
      </c>
      <c r="H41" t="s">
        <v>38</v>
      </c>
      <c r="I41">
        <v>999</v>
      </c>
      <c r="J41" t="s">
        <v>90</v>
      </c>
      <c r="K41">
        <v>25</v>
      </c>
      <c r="L41">
        <v>-90</v>
      </c>
      <c r="M41" t="s">
        <v>44</v>
      </c>
      <c r="N41" t="s">
        <v>50</v>
      </c>
      <c r="O41" t="s">
        <v>56</v>
      </c>
    </row>
    <row r="42" spans="1:15" x14ac:dyDescent="0.2">
      <c r="A42" t="s">
        <v>9</v>
      </c>
      <c r="B42" t="s">
        <v>13</v>
      </c>
      <c r="C42" t="s">
        <v>16</v>
      </c>
      <c r="D42" t="s">
        <v>18</v>
      </c>
      <c r="E42" t="s">
        <v>19</v>
      </c>
      <c r="F42" t="s">
        <v>26</v>
      </c>
      <c r="G42" t="s">
        <v>31</v>
      </c>
      <c r="H42" t="s">
        <v>37</v>
      </c>
      <c r="I42">
        <v>17</v>
      </c>
      <c r="J42" t="s">
        <v>83</v>
      </c>
      <c r="K42">
        <v>32.7333</v>
      </c>
      <c r="L42">
        <v>-89.666700000000006</v>
      </c>
      <c r="M42" t="s">
        <v>43</v>
      </c>
      <c r="N42" t="s">
        <v>49</v>
      </c>
      <c r="O42" t="s">
        <v>53</v>
      </c>
    </row>
    <row r="43" spans="1:15" x14ac:dyDescent="0.2">
      <c r="A43" t="s">
        <v>7</v>
      </c>
      <c r="B43" t="s">
        <v>11</v>
      </c>
      <c r="C43" t="s">
        <v>15</v>
      </c>
      <c r="D43" t="s">
        <v>15</v>
      </c>
      <c r="E43" t="s">
        <v>19</v>
      </c>
      <c r="F43" t="s">
        <v>24</v>
      </c>
      <c r="G43" t="s">
        <v>31</v>
      </c>
      <c r="H43" t="s">
        <v>36</v>
      </c>
      <c r="I43">
        <v>99</v>
      </c>
      <c r="J43" t="s">
        <v>22</v>
      </c>
      <c r="K43">
        <v>39.833300000000001</v>
      </c>
      <c r="L43">
        <v>-98.583299999999994</v>
      </c>
      <c r="M43" t="s">
        <v>42</v>
      </c>
      <c r="N43" t="s">
        <v>48</v>
      </c>
      <c r="O43" t="s">
        <v>54</v>
      </c>
    </row>
    <row r="44" spans="1:15" x14ac:dyDescent="0.2">
      <c r="A44" t="s">
        <v>10</v>
      </c>
      <c r="B44" t="s">
        <v>11</v>
      </c>
      <c r="C44" t="s">
        <v>16</v>
      </c>
      <c r="D44" t="s">
        <v>18</v>
      </c>
      <c r="E44" t="s">
        <v>21</v>
      </c>
      <c r="F44" t="s">
        <v>27</v>
      </c>
      <c r="G44" t="s">
        <v>31</v>
      </c>
      <c r="H44" t="s">
        <v>37</v>
      </c>
      <c r="I44">
        <v>17</v>
      </c>
      <c r="J44" t="s">
        <v>83</v>
      </c>
      <c r="K44">
        <v>32.7333</v>
      </c>
      <c r="L44">
        <v>-89.666700000000006</v>
      </c>
      <c r="M44" t="s">
        <v>43</v>
      </c>
      <c r="N44" t="s">
        <v>49</v>
      </c>
      <c r="O44" t="s">
        <v>53</v>
      </c>
    </row>
    <row r="45" spans="1:15" x14ac:dyDescent="0.2">
      <c r="A45" t="s">
        <v>7</v>
      </c>
      <c r="B45" t="s">
        <v>13</v>
      </c>
      <c r="C45" t="s">
        <v>18</v>
      </c>
      <c r="D45">
        <v>0</v>
      </c>
      <c r="E45" t="s">
        <v>20</v>
      </c>
      <c r="F45" t="s">
        <v>27</v>
      </c>
      <c r="G45" t="s">
        <v>32</v>
      </c>
      <c r="H45" t="s">
        <v>39</v>
      </c>
      <c r="I45">
        <v>999</v>
      </c>
      <c r="J45" t="s">
        <v>90</v>
      </c>
      <c r="K45">
        <v>25</v>
      </c>
      <c r="L45">
        <v>-90</v>
      </c>
      <c r="M45" t="s">
        <v>45</v>
      </c>
      <c r="N45" t="s">
        <v>51</v>
      </c>
      <c r="O45" t="s">
        <v>57</v>
      </c>
    </row>
    <row r="46" spans="1:15" x14ac:dyDescent="0.2">
      <c r="A46" t="s">
        <v>7</v>
      </c>
      <c r="B46" t="s">
        <v>11</v>
      </c>
      <c r="C46" t="s">
        <v>17</v>
      </c>
      <c r="D46">
        <v>0</v>
      </c>
      <c r="E46" t="s">
        <v>21</v>
      </c>
      <c r="F46" t="s">
        <v>27</v>
      </c>
      <c r="G46" t="s">
        <v>30</v>
      </c>
      <c r="H46" t="s">
        <v>38</v>
      </c>
      <c r="I46">
        <v>999</v>
      </c>
      <c r="J46" t="s">
        <v>90</v>
      </c>
      <c r="K46">
        <v>25</v>
      </c>
      <c r="L46">
        <v>-90</v>
      </c>
      <c r="M46" t="s">
        <v>44</v>
      </c>
      <c r="N46" t="s">
        <v>50</v>
      </c>
      <c r="O46" t="s">
        <v>56</v>
      </c>
    </row>
    <row r="47" spans="1:15" x14ac:dyDescent="0.2">
      <c r="A47" t="s">
        <v>7</v>
      </c>
      <c r="B47" t="s">
        <v>11</v>
      </c>
      <c r="C47" t="s">
        <v>16</v>
      </c>
      <c r="D47" t="s">
        <v>18</v>
      </c>
      <c r="E47" t="s">
        <v>19</v>
      </c>
      <c r="F47" t="s">
        <v>27</v>
      </c>
      <c r="G47" t="s">
        <v>31</v>
      </c>
      <c r="H47" t="s">
        <v>37</v>
      </c>
      <c r="I47">
        <v>5</v>
      </c>
      <c r="J47" t="s">
        <v>71</v>
      </c>
      <c r="K47">
        <v>41.6</v>
      </c>
      <c r="L47">
        <v>-72.7</v>
      </c>
      <c r="M47" t="s">
        <v>43</v>
      </c>
      <c r="N47" t="s">
        <v>49</v>
      </c>
      <c r="O47" t="s">
        <v>53</v>
      </c>
    </row>
    <row r="48" spans="1:15" x14ac:dyDescent="0.2">
      <c r="A48" t="s">
        <v>10</v>
      </c>
      <c r="B48" t="s">
        <v>12</v>
      </c>
      <c r="C48" t="s">
        <v>17</v>
      </c>
      <c r="D48">
        <v>0</v>
      </c>
      <c r="E48" t="s">
        <v>21</v>
      </c>
      <c r="F48" t="s">
        <v>24</v>
      </c>
      <c r="G48" t="s">
        <v>30</v>
      </c>
      <c r="H48" t="s">
        <v>38</v>
      </c>
      <c r="I48">
        <v>999</v>
      </c>
      <c r="J48" t="s">
        <v>90</v>
      </c>
      <c r="K48">
        <v>25</v>
      </c>
      <c r="L48">
        <v>-90</v>
      </c>
      <c r="M48" t="s">
        <v>44</v>
      </c>
      <c r="N48" t="s">
        <v>50</v>
      </c>
      <c r="O48" t="s">
        <v>56</v>
      </c>
    </row>
    <row r="49" spans="1:15" x14ac:dyDescent="0.2">
      <c r="A49" t="s">
        <v>5</v>
      </c>
      <c r="B49" t="s">
        <v>12</v>
      </c>
      <c r="C49" t="s">
        <v>17</v>
      </c>
      <c r="D49">
        <v>0</v>
      </c>
      <c r="E49" t="s">
        <v>19</v>
      </c>
      <c r="F49" t="s">
        <v>27</v>
      </c>
      <c r="G49" t="s">
        <v>32</v>
      </c>
      <c r="H49" t="s">
        <v>38</v>
      </c>
      <c r="I49">
        <v>999</v>
      </c>
      <c r="J49" t="s">
        <v>90</v>
      </c>
      <c r="K49">
        <v>25</v>
      </c>
      <c r="L49">
        <v>-90</v>
      </c>
      <c r="M49" t="s">
        <v>44</v>
      </c>
      <c r="N49" t="s">
        <v>50</v>
      </c>
      <c r="O49" t="s">
        <v>56</v>
      </c>
    </row>
    <row r="50" spans="1:15" x14ac:dyDescent="0.2">
      <c r="A50" t="s">
        <v>5</v>
      </c>
      <c r="B50" t="s">
        <v>13</v>
      </c>
      <c r="C50" t="s">
        <v>18</v>
      </c>
      <c r="D50">
        <v>0</v>
      </c>
      <c r="E50" t="s">
        <v>20</v>
      </c>
      <c r="F50" t="s">
        <v>25</v>
      </c>
      <c r="G50" t="s">
        <v>32</v>
      </c>
      <c r="H50" t="s">
        <v>39</v>
      </c>
      <c r="I50">
        <v>999</v>
      </c>
      <c r="J50" t="s">
        <v>90</v>
      </c>
      <c r="K50">
        <v>25</v>
      </c>
      <c r="L50">
        <v>-90</v>
      </c>
      <c r="M50" t="s">
        <v>45</v>
      </c>
      <c r="N50" t="s">
        <v>51</v>
      </c>
      <c r="O50" t="s">
        <v>57</v>
      </c>
    </row>
    <row r="51" spans="1:15" x14ac:dyDescent="0.2">
      <c r="A51" t="s">
        <v>6</v>
      </c>
      <c r="B51" t="s">
        <v>11</v>
      </c>
      <c r="C51" t="s">
        <v>18</v>
      </c>
      <c r="D51">
        <v>0</v>
      </c>
      <c r="E51" t="s">
        <v>19</v>
      </c>
      <c r="F51" t="s">
        <v>27</v>
      </c>
      <c r="G51" t="s">
        <v>29</v>
      </c>
      <c r="H51" t="s">
        <v>39</v>
      </c>
      <c r="I51">
        <v>999</v>
      </c>
      <c r="J51" t="s">
        <v>90</v>
      </c>
      <c r="K51">
        <v>25</v>
      </c>
      <c r="L51">
        <v>-90</v>
      </c>
      <c r="M51" t="s">
        <v>45</v>
      </c>
      <c r="N51" t="s">
        <v>51</v>
      </c>
      <c r="O51" t="s">
        <v>57</v>
      </c>
    </row>
    <row r="52" spans="1:15" x14ac:dyDescent="0.2">
      <c r="A52" t="s">
        <v>9</v>
      </c>
      <c r="B52" t="s">
        <v>13</v>
      </c>
      <c r="C52" t="s">
        <v>17</v>
      </c>
      <c r="D52">
        <v>0</v>
      </c>
      <c r="E52" t="s">
        <v>20</v>
      </c>
      <c r="F52" t="s">
        <v>24</v>
      </c>
      <c r="G52" t="s">
        <v>31</v>
      </c>
      <c r="H52" t="s">
        <v>38</v>
      </c>
      <c r="I52">
        <v>999</v>
      </c>
      <c r="J52" t="s">
        <v>90</v>
      </c>
      <c r="K52">
        <v>25</v>
      </c>
      <c r="L52">
        <v>-90</v>
      </c>
      <c r="M52" t="s">
        <v>44</v>
      </c>
      <c r="N52" t="s">
        <v>50</v>
      </c>
      <c r="O52" t="s">
        <v>56</v>
      </c>
    </row>
    <row r="53" spans="1:15" x14ac:dyDescent="0.2">
      <c r="A53" t="s">
        <v>7</v>
      </c>
      <c r="B53" t="s">
        <v>11</v>
      </c>
      <c r="C53" t="s">
        <v>18</v>
      </c>
      <c r="D53">
        <v>0</v>
      </c>
      <c r="E53" t="s">
        <v>19</v>
      </c>
      <c r="F53" t="s">
        <v>27</v>
      </c>
      <c r="G53" t="s">
        <v>31</v>
      </c>
      <c r="H53" t="s">
        <v>39</v>
      </c>
      <c r="I53">
        <v>999</v>
      </c>
      <c r="J53" t="s">
        <v>90</v>
      </c>
      <c r="K53">
        <v>25</v>
      </c>
      <c r="L53">
        <v>-90</v>
      </c>
      <c r="M53" t="s">
        <v>45</v>
      </c>
      <c r="N53" t="s">
        <v>51</v>
      </c>
      <c r="O53" t="s">
        <v>57</v>
      </c>
    </row>
    <row r="54" spans="1:15" x14ac:dyDescent="0.2">
      <c r="A54" t="s">
        <v>6</v>
      </c>
      <c r="B54" t="s">
        <v>12</v>
      </c>
      <c r="C54" t="s">
        <v>17</v>
      </c>
      <c r="D54">
        <v>0</v>
      </c>
      <c r="E54" t="s">
        <v>20</v>
      </c>
      <c r="F54" t="s">
        <v>27</v>
      </c>
      <c r="G54" t="s">
        <v>32</v>
      </c>
      <c r="H54" t="s">
        <v>38</v>
      </c>
      <c r="I54">
        <v>999</v>
      </c>
      <c r="J54" t="s">
        <v>90</v>
      </c>
      <c r="K54">
        <v>25</v>
      </c>
      <c r="L54">
        <v>-90</v>
      </c>
      <c r="M54" t="s">
        <v>44</v>
      </c>
      <c r="N54" t="s">
        <v>50</v>
      </c>
      <c r="O54" t="s">
        <v>56</v>
      </c>
    </row>
    <row r="55" spans="1:15" x14ac:dyDescent="0.2">
      <c r="A55" t="s">
        <v>8</v>
      </c>
      <c r="B55" t="s">
        <v>12</v>
      </c>
      <c r="C55" t="s">
        <v>14</v>
      </c>
      <c r="D55" t="s">
        <v>14</v>
      </c>
      <c r="E55" t="s">
        <v>21</v>
      </c>
      <c r="F55" t="s">
        <v>24</v>
      </c>
      <c r="G55" t="s">
        <v>31</v>
      </c>
      <c r="H55" t="s">
        <v>35</v>
      </c>
      <c r="I55">
        <v>14</v>
      </c>
      <c r="J55" t="s">
        <v>80</v>
      </c>
      <c r="K55">
        <v>28.133299999999998</v>
      </c>
      <c r="L55">
        <v>-81.633300000000006</v>
      </c>
      <c r="M55" t="s">
        <v>41</v>
      </c>
      <c r="N55" t="s">
        <v>47</v>
      </c>
      <c r="O55" t="s">
        <v>55</v>
      </c>
    </row>
    <row r="56" spans="1:15" x14ac:dyDescent="0.2">
      <c r="A56" t="s">
        <v>10</v>
      </c>
      <c r="B56" t="s">
        <v>11</v>
      </c>
      <c r="C56" t="s">
        <v>18</v>
      </c>
      <c r="D56">
        <v>0</v>
      </c>
      <c r="E56" t="s">
        <v>20</v>
      </c>
      <c r="F56" t="s">
        <v>27</v>
      </c>
      <c r="G56" t="s">
        <v>30</v>
      </c>
      <c r="H56" t="s">
        <v>39</v>
      </c>
      <c r="I56">
        <v>999</v>
      </c>
      <c r="J56" t="s">
        <v>90</v>
      </c>
      <c r="K56">
        <v>25</v>
      </c>
      <c r="L56">
        <v>-90</v>
      </c>
      <c r="M56" t="s">
        <v>45</v>
      </c>
      <c r="N56" t="s">
        <v>51</v>
      </c>
      <c r="O56" t="s">
        <v>57</v>
      </c>
    </row>
    <row r="57" spans="1:15" x14ac:dyDescent="0.2">
      <c r="A57" t="s">
        <v>10</v>
      </c>
      <c r="B57" t="s">
        <v>12</v>
      </c>
      <c r="C57" t="s">
        <v>14</v>
      </c>
      <c r="D57" t="s">
        <v>14</v>
      </c>
      <c r="E57" t="s">
        <v>21</v>
      </c>
      <c r="F57" t="s">
        <v>24</v>
      </c>
      <c r="G57" t="s">
        <v>31</v>
      </c>
      <c r="H57" t="s">
        <v>35</v>
      </c>
      <c r="I57">
        <v>17</v>
      </c>
      <c r="J57" t="s">
        <v>83</v>
      </c>
      <c r="K57">
        <v>32.7333</v>
      </c>
      <c r="L57">
        <v>-89.666700000000006</v>
      </c>
      <c r="M57" t="s">
        <v>41</v>
      </c>
      <c r="N57" t="s">
        <v>47</v>
      </c>
      <c r="O57" t="s">
        <v>55</v>
      </c>
    </row>
    <row r="58" spans="1:15" x14ac:dyDescent="0.2">
      <c r="A58" t="s">
        <v>5</v>
      </c>
      <c r="B58" t="s">
        <v>13</v>
      </c>
      <c r="C58" t="s">
        <v>18</v>
      </c>
      <c r="D58">
        <v>0</v>
      </c>
      <c r="E58" t="s">
        <v>21</v>
      </c>
      <c r="F58" t="s">
        <v>24</v>
      </c>
      <c r="G58" t="s">
        <v>29</v>
      </c>
      <c r="H58" t="s">
        <v>39</v>
      </c>
      <c r="I58">
        <v>999</v>
      </c>
      <c r="J58" t="s">
        <v>90</v>
      </c>
      <c r="K58">
        <v>25</v>
      </c>
      <c r="L58">
        <v>-90</v>
      </c>
      <c r="M58" t="s">
        <v>45</v>
      </c>
      <c r="N58" t="s">
        <v>51</v>
      </c>
      <c r="O58" t="s">
        <v>57</v>
      </c>
    </row>
    <row r="59" spans="1:15" x14ac:dyDescent="0.2">
      <c r="A59" t="s">
        <v>5</v>
      </c>
      <c r="B59" t="s">
        <v>13</v>
      </c>
      <c r="C59" t="s">
        <v>18</v>
      </c>
      <c r="D59">
        <v>0</v>
      </c>
      <c r="E59" t="s">
        <v>19</v>
      </c>
      <c r="F59" t="s">
        <v>26</v>
      </c>
      <c r="G59" t="s">
        <v>32</v>
      </c>
      <c r="H59" t="s">
        <v>39</v>
      </c>
      <c r="I59">
        <v>999</v>
      </c>
      <c r="J59" t="s">
        <v>90</v>
      </c>
      <c r="K59">
        <v>25</v>
      </c>
      <c r="L59">
        <v>-90</v>
      </c>
      <c r="M59" t="s">
        <v>45</v>
      </c>
      <c r="N59" t="s">
        <v>51</v>
      </c>
      <c r="O59" t="s">
        <v>57</v>
      </c>
    </row>
    <row r="60" spans="1:15" x14ac:dyDescent="0.2">
      <c r="A60" t="s">
        <v>5</v>
      </c>
      <c r="B60" t="s">
        <v>13</v>
      </c>
      <c r="C60" t="s">
        <v>18</v>
      </c>
      <c r="D60">
        <v>0</v>
      </c>
      <c r="E60" t="s">
        <v>20</v>
      </c>
      <c r="F60" t="s">
        <v>25</v>
      </c>
      <c r="G60" t="s">
        <v>31</v>
      </c>
      <c r="H60" t="s">
        <v>39</v>
      </c>
      <c r="I60">
        <v>999</v>
      </c>
      <c r="J60" t="s">
        <v>90</v>
      </c>
      <c r="K60">
        <v>25</v>
      </c>
      <c r="L60">
        <v>-90</v>
      </c>
      <c r="M60" t="s">
        <v>45</v>
      </c>
      <c r="N60" t="s">
        <v>51</v>
      </c>
      <c r="O60" t="s">
        <v>57</v>
      </c>
    </row>
    <row r="61" spans="1:15" x14ac:dyDescent="0.2">
      <c r="A61" t="s">
        <v>7</v>
      </c>
      <c r="B61" t="s">
        <v>11</v>
      </c>
      <c r="C61" t="s">
        <v>18</v>
      </c>
      <c r="D61">
        <v>0</v>
      </c>
      <c r="E61" t="s">
        <v>20</v>
      </c>
      <c r="F61" t="s">
        <v>27</v>
      </c>
      <c r="G61" t="s">
        <v>30</v>
      </c>
      <c r="H61" t="s">
        <v>39</v>
      </c>
      <c r="I61">
        <v>999</v>
      </c>
      <c r="J61" t="s">
        <v>90</v>
      </c>
      <c r="K61">
        <v>25</v>
      </c>
      <c r="L61">
        <v>-90</v>
      </c>
      <c r="M61" t="s">
        <v>45</v>
      </c>
      <c r="N61" t="s">
        <v>51</v>
      </c>
      <c r="O61" t="s">
        <v>57</v>
      </c>
    </row>
    <row r="62" spans="1:15" x14ac:dyDescent="0.2">
      <c r="A62" t="s">
        <v>7</v>
      </c>
      <c r="B62" t="s">
        <v>12</v>
      </c>
      <c r="C62" t="s">
        <v>15</v>
      </c>
      <c r="D62" t="s">
        <v>15</v>
      </c>
      <c r="E62" t="s">
        <v>20</v>
      </c>
      <c r="F62" t="s">
        <v>25</v>
      </c>
      <c r="G62" t="s">
        <v>30</v>
      </c>
      <c r="H62" t="s">
        <v>36</v>
      </c>
      <c r="I62">
        <v>99</v>
      </c>
      <c r="J62" t="s">
        <v>22</v>
      </c>
      <c r="K62">
        <v>39.833300000000001</v>
      </c>
      <c r="L62">
        <v>-98.583299999999994</v>
      </c>
      <c r="M62" t="s">
        <v>42</v>
      </c>
      <c r="N62" t="s">
        <v>48</v>
      </c>
      <c r="O62" t="s">
        <v>54</v>
      </c>
    </row>
    <row r="63" spans="1:15" x14ac:dyDescent="0.2">
      <c r="A63" t="s">
        <v>7</v>
      </c>
      <c r="B63" t="s">
        <v>12</v>
      </c>
      <c r="C63" t="s">
        <v>18</v>
      </c>
      <c r="D63">
        <v>0</v>
      </c>
      <c r="E63" t="s">
        <v>20</v>
      </c>
      <c r="F63" t="s">
        <v>27</v>
      </c>
      <c r="G63" t="s">
        <v>31</v>
      </c>
      <c r="H63" t="s">
        <v>39</v>
      </c>
      <c r="I63">
        <v>999</v>
      </c>
      <c r="J63" t="s">
        <v>90</v>
      </c>
      <c r="K63">
        <v>25</v>
      </c>
      <c r="L63">
        <v>-90</v>
      </c>
      <c r="M63" t="s">
        <v>45</v>
      </c>
      <c r="N63" t="s">
        <v>51</v>
      </c>
      <c r="O63" t="s">
        <v>57</v>
      </c>
    </row>
    <row r="64" spans="1:15" x14ac:dyDescent="0.2">
      <c r="A64" t="s">
        <v>5</v>
      </c>
      <c r="B64" t="s">
        <v>13</v>
      </c>
      <c r="C64" t="s">
        <v>18</v>
      </c>
      <c r="D64">
        <v>0</v>
      </c>
      <c r="E64" t="s">
        <v>19</v>
      </c>
      <c r="F64" t="s">
        <v>25</v>
      </c>
      <c r="G64" t="s">
        <v>30</v>
      </c>
      <c r="H64" t="s">
        <v>39</v>
      </c>
      <c r="I64">
        <v>999</v>
      </c>
      <c r="J64" t="s">
        <v>90</v>
      </c>
      <c r="K64">
        <v>25</v>
      </c>
      <c r="L64">
        <v>-90</v>
      </c>
      <c r="M64" t="s">
        <v>45</v>
      </c>
      <c r="N64" t="s">
        <v>51</v>
      </c>
      <c r="O64" t="s">
        <v>57</v>
      </c>
    </row>
    <row r="65" spans="1:15" x14ac:dyDescent="0.2">
      <c r="A65" t="s">
        <v>8</v>
      </c>
      <c r="B65" t="s">
        <v>12</v>
      </c>
      <c r="C65" t="s">
        <v>18</v>
      </c>
      <c r="D65">
        <v>0</v>
      </c>
      <c r="E65" t="s">
        <v>20</v>
      </c>
      <c r="F65" t="s">
        <v>24</v>
      </c>
      <c r="G65" t="s">
        <v>32</v>
      </c>
      <c r="H65" t="s">
        <v>39</v>
      </c>
      <c r="I65">
        <v>999</v>
      </c>
      <c r="J65" t="s">
        <v>90</v>
      </c>
      <c r="K65">
        <v>25</v>
      </c>
      <c r="L65">
        <v>-90</v>
      </c>
      <c r="M65" t="s">
        <v>45</v>
      </c>
      <c r="N65" t="s">
        <v>51</v>
      </c>
      <c r="O65" t="s">
        <v>57</v>
      </c>
    </row>
    <row r="66" spans="1:15" x14ac:dyDescent="0.2">
      <c r="A66" t="s">
        <v>5</v>
      </c>
      <c r="B66" t="s">
        <v>12</v>
      </c>
      <c r="C66" t="s">
        <v>17</v>
      </c>
      <c r="D66">
        <v>0</v>
      </c>
      <c r="E66" t="s">
        <v>19</v>
      </c>
      <c r="F66" t="s">
        <v>27</v>
      </c>
      <c r="G66" t="s">
        <v>31</v>
      </c>
      <c r="H66" t="s">
        <v>38</v>
      </c>
      <c r="I66">
        <v>999</v>
      </c>
      <c r="J66" t="s">
        <v>90</v>
      </c>
      <c r="K66">
        <v>25</v>
      </c>
      <c r="L66">
        <v>-90</v>
      </c>
      <c r="M66" t="s">
        <v>44</v>
      </c>
      <c r="N66" t="s">
        <v>50</v>
      </c>
      <c r="O66" t="s">
        <v>56</v>
      </c>
    </row>
    <row r="67" spans="1:15" x14ac:dyDescent="0.2">
      <c r="A67" t="s">
        <v>10</v>
      </c>
      <c r="B67" t="s">
        <v>13</v>
      </c>
      <c r="C67" t="s">
        <v>15</v>
      </c>
      <c r="D67" t="s">
        <v>15</v>
      </c>
      <c r="E67" t="s">
        <v>21</v>
      </c>
      <c r="F67" t="s">
        <v>24</v>
      </c>
      <c r="G67" t="s">
        <v>30</v>
      </c>
      <c r="H67" t="s">
        <v>36</v>
      </c>
      <c r="I67">
        <v>99</v>
      </c>
      <c r="J67" t="s">
        <v>22</v>
      </c>
      <c r="K67">
        <v>39.833300000000001</v>
      </c>
      <c r="L67">
        <v>-98.583299999999994</v>
      </c>
      <c r="M67" t="s">
        <v>42</v>
      </c>
      <c r="N67" t="s">
        <v>48</v>
      </c>
      <c r="O67" t="s">
        <v>54</v>
      </c>
    </row>
    <row r="68" spans="1:15" x14ac:dyDescent="0.2">
      <c r="A68" t="s">
        <v>6</v>
      </c>
      <c r="B68" t="s">
        <v>11</v>
      </c>
      <c r="C68" t="s">
        <v>18</v>
      </c>
      <c r="D68">
        <v>0</v>
      </c>
      <c r="E68" t="s">
        <v>21</v>
      </c>
      <c r="F68" t="s">
        <v>27</v>
      </c>
      <c r="G68" t="s">
        <v>32</v>
      </c>
      <c r="H68" t="s">
        <v>39</v>
      </c>
      <c r="I68">
        <v>999</v>
      </c>
      <c r="J68" t="s">
        <v>90</v>
      </c>
      <c r="K68">
        <v>25</v>
      </c>
      <c r="L68">
        <v>-90</v>
      </c>
      <c r="M68" t="s">
        <v>45</v>
      </c>
      <c r="N68" t="s">
        <v>51</v>
      </c>
      <c r="O68" t="s">
        <v>57</v>
      </c>
    </row>
    <row r="69" spans="1:15" x14ac:dyDescent="0.2">
      <c r="A69" t="s">
        <v>10</v>
      </c>
      <c r="B69" t="s">
        <v>12</v>
      </c>
      <c r="C69" t="s">
        <v>17</v>
      </c>
      <c r="D69">
        <v>0</v>
      </c>
      <c r="E69" t="s">
        <v>21</v>
      </c>
      <c r="F69" t="s">
        <v>25</v>
      </c>
      <c r="G69" t="s">
        <v>29</v>
      </c>
      <c r="H69" t="s">
        <v>38</v>
      </c>
      <c r="I69">
        <v>999</v>
      </c>
      <c r="J69" t="s">
        <v>90</v>
      </c>
      <c r="K69">
        <v>25</v>
      </c>
      <c r="L69">
        <v>-90</v>
      </c>
      <c r="M69" t="s">
        <v>44</v>
      </c>
      <c r="N69" t="s">
        <v>50</v>
      </c>
      <c r="O69" t="s">
        <v>56</v>
      </c>
    </row>
    <row r="70" spans="1:15" x14ac:dyDescent="0.2">
      <c r="A70" t="s">
        <v>5</v>
      </c>
      <c r="B70" t="s">
        <v>13</v>
      </c>
      <c r="C70" t="s">
        <v>14</v>
      </c>
      <c r="D70" t="s">
        <v>14</v>
      </c>
      <c r="E70" t="s">
        <v>20</v>
      </c>
      <c r="F70" t="s">
        <v>27</v>
      </c>
      <c r="G70" t="s">
        <v>31</v>
      </c>
      <c r="H70" t="s">
        <v>35</v>
      </c>
      <c r="I70">
        <v>22</v>
      </c>
      <c r="J70" t="s">
        <v>88</v>
      </c>
      <c r="K70">
        <v>64.7333</v>
      </c>
      <c r="L70">
        <v>-152.4667</v>
      </c>
      <c r="M70" t="s">
        <v>41</v>
      </c>
      <c r="N70" t="s">
        <v>47</v>
      </c>
      <c r="O70" t="s">
        <v>55</v>
      </c>
    </row>
    <row r="71" spans="1:15" x14ac:dyDescent="0.2">
      <c r="A71" t="s">
        <v>9</v>
      </c>
      <c r="B71" t="s">
        <v>11</v>
      </c>
      <c r="C71" t="s">
        <v>14</v>
      </c>
      <c r="D71" t="s">
        <v>14</v>
      </c>
      <c r="E71" t="s">
        <v>19</v>
      </c>
      <c r="F71" t="s">
        <v>26</v>
      </c>
      <c r="G71" t="s">
        <v>29</v>
      </c>
      <c r="H71" t="s">
        <v>35</v>
      </c>
      <c r="I71">
        <v>7</v>
      </c>
      <c r="J71" t="s">
        <v>73</v>
      </c>
      <c r="K71">
        <v>39.833300000000001</v>
      </c>
      <c r="L71">
        <v>-74.866699999999994</v>
      </c>
      <c r="M71" t="s">
        <v>41</v>
      </c>
      <c r="N71" t="s">
        <v>47</v>
      </c>
      <c r="O71" t="s">
        <v>55</v>
      </c>
    </row>
    <row r="72" spans="1:15" x14ac:dyDescent="0.2">
      <c r="A72" t="s">
        <v>9</v>
      </c>
      <c r="B72" t="s">
        <v>13</v>
      </c>
      <c r="C72" t="s">
        <v>17</v>
      </c>
      <c r="D72">
        <v>0</v>
      </c>
      <c r="E72" t="s">
        <v>19</v>
      </c>
      <c r="F72" t="s">
        <v>27</v>
      </c>
      <c r="G72" t="s">
        <v>29</v>
      </c>
      <c r="H72" t="s">
        <v>38</v>
      </c>
      <c r="I72">
        <v>999</v>
      </c>
      <c r="J72" t="s">
        <v>90</v>
      </c>
      <c r="K72">
        <v>25</v>
      </c>
      <c r="L72">
        <v>-90</v>
      </c>
      <c r="M72" t="s">
        <v>44</v>
      </c>
      <c r="N72" t="s">
        <v>50</v>
      </c>
      <c r="O72" t="s">
        <v>56</v>
      </c>
    </row>
    <row r="73" spans="1:15" x14ac:dyDescent="0.2">
      <c r="A73" t="s">
        <v>7</v>
      </c>
      <c r="B73" t="s">
        <v>11</v>
      </c>
      <c r="C73" t="s">
        <v>14</v>
      </c>
      <c r="D73" t="s">
        <v>14</v>
      </c>
      <c r="E73" t="s">
        <v>20</v>
      </c>
      <c r="F73" t="s">
        <v>24</v>
      </c>
      <c r="G73" t="s">
        <v>29</v>
      </c>
      <c r="H73" t="s">
        <v>35</v>
      </c>
      <c r="I73">
        <v>18</v>
      </c>
      <c r="J73" t="s">
        <v>84</v>
      </c>
      <c r="K73">
        <v>32.833300000000001</v>
      </c>
      <c r="L73">
        <v>-86.633300000000006</v>
      </c>
      <c r="M73" t="s">
        <v>41</v>
      </c>
      <c r="N73" t="s">
        <v>47</v>
      </c>
      <c r="O73" t="s">
        <v>55</v>
      </c>
    </row>
    <row r="74" spans="1:15" x14ac:dyDescent="0.2">
      <c r="A74" t="s">
        <v>7</v>
      </c>
      <c r="B74" t="s">
        <v>12</v>
      </c>
      <c r="C74" t="s">
        <v>15</v>
      </c>
      <c r="D74" t="s">
        <v>15</v>
      </c>
      <c r="E74" t="s">
        <v>20</v>
      </c>
      <c r="F74" t="s">
        <v>26</v>
      </c>
      <c r="G74" t="s">
        <v>29</v>
      </c>
      <c r="H74" t="s">
        <v>36</v>
      </c>
      <c r="I74">
        <v>99</v>
      </c>
      <c r="J74" t="s">
        <v>22</v>
      </c>
      <c r="K74">
        <v>39.833300000000001</v>
      </c>
      <c r="L74">
        <v>-98.583299999999994</v>
      </c>
      <c r="M74" t="s">
        <v>42</v>
      </c>
      <c r="N74" t="s">
        <v>48</v>
      </c>
      <c r="O74" t="s">
        <v>54</v>
      </c>
    </row>
    <row r="75" spans="1:15" x14ac:dyDescent="0.2">
      <c r="A75" t="s">
        <v>9</v>
      </c>
      <c r="B75" t="s">
        <v>13</v>
      </c>
      <c r="C75" t="s">
        <v>16</v>
      </c>
      <c r="D75" t="s">
        <v>18</v>
      </c>
      <c r="E75" t="s">
        <v>21</v>
      </c>
      <c r="F75" t="s">
        <v>27</v>
      </c>
      <c r="G75" t="s">
        <v>29</v>
      </c>
      <c r="H75" t="s">
        <v>37</v>
      </c>
      <c r="I75">
        <v>21</v>
      </c>
      <c r="J75" t="s">
        <v>87</v>
      </c>
      <c r="K75">
        <v>47.75</v>
      </c>
      <c r="L75">
        <v>-120.7333</v>
      </c>
      <c r="M75" t="s">
        <v>43</v>
      </c>
      <c r="N75" t="s">
        <v>49</v>
      </c>
      <c r="O75" t="s">
        <v>53</v>
      </c>
    </row>
    <row r="76" spans="1:15" x14ac:dyDescent="0.2">
      <c r="A76" t="s">
        <v>9</v>
      </c>
      <c r="B76" t="s">
        <v>12</v>
      </c>
      <c r="C76" t="s">
        <v>16</v>
      </c>
      <c r="D76" t="s">
        <v>18</v>
      </c>
      <c r="E76" t="s">
        <v>19</v>
      </c>
      <c r="F76" t="s">
        <v>27</v>
      </c>
      <c r="G76" t="s">
        <v>32</v>
      </c>
      <c r="H76" t="s">
        <v>37</v>
      </c>
      <c r="I76">
        <v>20</v>
      </c>
      <c r="J76" t="s">
        <v>86</v>
      </c>
      <c r="K76">
        <v>43.933300000000003</v>
      </c>
      <c r="L76">
        <v>-120.5667</v>
      </c>
      <c r="M76" t="s">
        <v>43</v>
      </c>
      <c r="N76" t="s">
        <v>49</v>
      </c>
      <c r="O76" t="s">
        <v>53</v>
      </c>
    </row>
    <row r="77" spans="1:15" x14ac:dyDescent="0.2">
      <c r="A77" t="s">
        <v>7</v>
      </c>
      <c r="B77" t="s">
        <v>13</v>
      </c>
      <c r="C77" t="s">
        <v>16</v>
      </c>
      <c r="D77" t="s">
        <v>18</v>
      </c>
      <c r="E77" t="s">
        <v>19</v>
      </c>
      <c r="F77" t="s">
        <v>24</v>
      </c>
      <c r="G77" t="s">
        <v>31</v>
      </c>
      <c r="H77" t="s">
        <v>37</v>
      </c>
      <c r="I77">
        <v>18</v>
      </c>
      <c r="J77" t="s">
        <v>84</v>
      </c>
      <c r="K77">
        <v>32.833300000000001</v>
      </c>
      <c r="L77">
        <v>-86.633300000000006</v>
      </c>
      <c r="M77" t="s">
        <v>43</v>
      </c>
      <c r="N77" t="s">
        <v>49</v>
      </c>
      <c r="O77" t="s">
        <v>53</v>
      </c>
    </row>
    <row r="78" spans="1:15" x14ac:dyDescent="0.2">
      <c r="A78" t="s">
        <v>5</v>
      </c>
      <c r="B78" t="s">
        <v>11</v>
      </c>
      <c r="C78" t="s">
        <v>17</v>
      </c>
      <c r="D78">
        <v>0</v>
      </c>
      <c r="E78" t="s">
        <v>21</v>
      </c>
      <c r="F78" t="s">
        <v>25</v>
      </c>
      <c r="G78" t="s">
        <v>29</v>
      </c>
      <c r="H78" t="s">
        <v>38</v>
      </c>
      <c r="I78">
        <v>999</v>
      </c>
      <c r="J78" t="s">
        <v>90</v>
      </c>
      <c r="K78">
        <v>25</v>
      </c>
      <c r="L78">
        <v>-90</v>
      </c>
      <c r="M78" t="s">
        <v>44</v>
      </c>
      <c r="N78" t="s">
        <v>50</v>
      </c>
      <c r="O78" t="s">
        <v>56</v>
      </c>
    </row>
    <row r="79" spans="1:15" x14ac:dyDescent="0.2">
      <c r="A79" t="s">
        <v>6</v>
      </c>
      <c r="B79" t="s">
        <v>12</v>
      </c>
      <c r="C79" t="s">
        <v>18</v>
      </c>
      <c r="D79">
        <v>0</v>
      </c>
      <c r="E79" t="s">
        <v>19</v>
      </c>
      <c r="F79" t="s">
        <v>27</v>
      </c>
      <c r="G79" t="s">
        <v>32</v>
      </c>
      <c r="H79" t="s">
        <v>39</v>
      </c>
      <c r="I79">
        <v>999</v>
      </c>
      <c r="J79" t="s">
        <v>90</v>
      </c>
      <c r="K79">
        <v>25</v>
      </c>
      <c r="L79">
        <v>-90</v>
      </c>
      <c r="M79" t="s">
        <v>45</v>
      </c>
      <c r="N79" t="s">
        <v>51</v>
      </c>
      <c r="O79" t="s">
        <v>57</v>
      </c>
    </row>
    <row r="80" spans="1:15" x14ac:dyDescent="0.2">
      <c r="A80" t="s">
        <v>10</v>
      </c>
      <c r="B80" t="s">
        <v>11</v>
      </c>
      <c r="C80" t="s">
        <v>14</v>
      </c>
      <c r="D80" t="s">
        <v>14</v>
      </c>
      <c r="E80" t="s">
        <v>21</v>
      </c>
      <c r="F80" t="s">
        <v>24</v>
      </c>
      <c r="G80" t="s">
        <v>30</v>
      </c>
      <c r="H80" t="s">
        <v>35</v>
      </c>
      <c r="I80">
        <v>6</v>
      </c>
      <c r="J80" t="s">
        <v>72</v>
      </c>
      <c r="K80">
        <v>42.966700000000003</v>
      </c>
      <c r="L80">
        <v>-75.5167</v>
      </c>
      <c r="M80" t="s">
        <v>41</v>
      </c>
      <c r="N80" t="s">
        <v>47</v>
      </c>
      <c r="O80" t="s">
        <v>55</v>
      </c>
    </row>
    <row r="81" spans="1:15" x14ac:dyDescent="0.2">
      <c r="A81" t="s">
        <v>10</v>
      </c>
      <c r="B81" t="s">
        <v>13</v>
      </c>
      <c r="C81" t="s">
        <v>17</v>
      </c>
      <c r="D81">
        <v>0</v>
      </c>
      <c r="E81" t="s">
        <v>21</v>
      </c>
      <c r="F81" t="s">
        <v>26</v>
      </c>
      <c r="G81" t="s">
        <v>30</v>
      </c>
      <c r="H81" t="s">
        <v>38</v>
      </c>
      <c r="I81">
        <v>999</v>
      </c>
      <c r="J81" t="s">
        <v>90</v>
      </c>
      <c r="K81">
        <v>25</v>
      </c>
      <c r="L81">
        <v>-90</v>
      </c>
      <c r="M81" t="s">
        <v>44</v>
      </c>
      <c r="N81" t="s">
        <v>50</v>
      </c>
      <c r="O81" t="s">
        <v>56</v>
      </c>
    </row>
    <row r="82" spans="1:15" x14ac:dyDescent="0.2">
      <c r="A82" t="s">
        <v>7</v>
      </c>
      <c r="B82" t="s">
        <v>12</v>
      </c>
      <c r="C82" t="s">
        <v>18</v>
      </c>
      <c r="D82">
        <v>0</v>
      </c>
      <c r="E82" t="s">
        <v>19</v>
      </c>
      <c r="F82" t="s">
        <v>26</v>
      </c>
      <c r="G82" t="s">
        <v>31</v>
      </c>
      <c r="H82" t="s">
        <v>39</v>
      </c>
      <c r="I82">
        <v>999</v>
      </c>
      <c r="J82" t="s">
        <v>90</v>
      </c>
      <c r="K82">
        <v>25</v>
      </c>
      <c r="L82">
        <v>-90</v>
      </c>
      <c r="M82" t="s">
        <v>45</v>
      </c>
      <c r="N82" t="s">
        <v>51</v>
      </c>
      <c r="O82" t="s">
        <v>57</v>
      </c>
    </row>
    <row r="83" spans="1:15" x14ac:dyDescent="0.2">
      <c r="A83" t="s">
        <v>5</v>
      </c>
      <c r="B83" t="s">
        <v>12</v>
      </c>
      <c r="C83" t="s">
        <v>18</v>
      </c>
      <c r="D83">
        <v>0</v>
      </c>
      <c r="E83" t="s">
        <v>19</v>
      </c>
      <c r="F83" t="s">
        <v>25</v>
      </c>
      <c r="G83" t="s">
        <v>30</v>
      </c>
      <c r="H83" t="s">
        <v>39</v>
      </c>
      <c r="I83">
        <v>999</v>
      </c>
      <c r="J83" t="s">
        <v>90</v>
      </c>
      <c r="K83">
        <v>25</v>
      </c>
      <c r="L83">
        <v>-90</v>
      </c>
      <c r="M83" t="s">
        <v>45</v>
      </c>
      <c r="N83" t="s">
        <v>51</v>
      </c>
      <c r="O83" t="s">
        <v>57</v>
      </c>
    </row>
    <row r="84" spans="1:15" x14ac:dyDescent="0.2">
      <c r="A84" t="s">
        <v>7</v>
      </c>
      <c r="B84" t="s">
        <v>11</v>
      </c>
      <c r="C84" t="s">
        <v>18</v>
      </c>
      <c r="D84">
        <v>0</v>
      </c>
      <c r="E84" t="s">
        <v>20</v>
      </c>
      <c r="F84" t="s">
        <v>25</v>
      </c>
      <c r="G84" t="s">
        <v>29</v>
      </c>
      <c r="H84" t="s">
        <v>39</v>
      </c>
      <c r="I84">
        <v>999</v>
      </c>
      <c r="J84" t="s">
        <v>90</v>
      </c>
      <c r="K84">
        <v>25</v>
      </c>
      <c r="L84">
        <v>-90</v>
      </c>
      <c r="M84" t="s">
        <v>45</v>
      </c>
      <c r="N84" t="s">
        <v>51</v>
      </c>
      <c r="O84" t="s">
        <v>57</v>
      </c>
    </row>
    <row r="85" spans="1:15" x14ac:dyDescent="0.2">
      <c r="A85" t="s">
        <v>10</v>
      </c>
      <c r="B85" t="s">
        <v>13</v>
      </c>
      <c r="C85" t="s">
        <v>18</v>
      </c>
      <c r="D85">
        <v>0</v>
      </c>
      <c r="E85" t="s">
        <v>19</v>
      </c>
      <c r="F85" t="s">
        <v>24</v>
      </c>
      <c r="G85" t="s">
        <v>32</v>
      </c>
      <c r="H85" t="s">
        <v>39</v>
      </c>
      <c r="I85">
        <v>999</v>
      </c>
      <c r="J85" t="s">
        <v>90</v>
      </c>
      <c r="K85">
        <v>25</v>
      </c>
      <c r="L85">
        <v>-90</v>
      </c>
      <c r="M85" t="s">
        <v>45</v>
      </c>
      <c r="N85" t="s">
        <v>51</v>
      </c>
      <c r="O85" t="s">
        <v>57</v>
      </c>
    </row>
    <row r="86" spans="1:15" x14ac:dyDescent="0.2">
      <c r="A86" t="s">
        <v>10</v>
      </c>
      <c r="B86" t="s">
        <v>12</v>
      </c>
      <c r="C86" t="s">
        <v>18</v>
      </c>
      <c r="D86">
        <v>0</v>
      </c>
      <c r="E86" t="s">
        <v>20</v>
      </c>
      <c r="F86" t="s">
        <v>27</v>
      </c>
      <c r="G86" t="s">
        <v>31</v>
      </c>
      <c r="H86" t="s">
        <v>39</v>
      </c>
      <c r="I86">
        <v>999</v>
      </c>
      <c r="J86" t="s">
        <v>90</v>
      </c>
      <c r="K86">
        <v>25</v>
      </c>
      <c r="L86">
        <v>-90</v>
      </c>
      <c r="M86" t="s">
        <v>45</v>
      </c>
      <c r="N86" t="s">
        <v>51</v>
      </c>
      <c r="O86" t="s">
        <v>57</v>
      </c>
    </row>
    <row r="87" spans="1:15" x14ac:dyDescent="0.2">
      <c r="A87" t="s">
        <v>5</v>
      </c>
      <c r="B87" t="s">
        <v>12</v>
      </c>
      <c r="C87" t="s">
        <v>16</v>
      </c>
      <c r="D87" t="s">
        <v>18</v>
      </c>
      <c r="E87" t="s">
        <v>19</v>
      </c>
      <c r="F87" t="s">
        <v>25</v>
      </c>
      <c r="G87" t="s">
        <v>29</v>
      </c>
      <c r="H87" t="s">
        <v>37</v>
      </c>
      <c r="I87">
        <v>9</v>
      </c>
      <c r="J87" t="s">
        <v>75</v>
      </c>
      <c r="K87">
        <v>39.049999999999997</v>
      </c>
      <c r="L87">
        <v>-76.633300000000006</v>
      </c>
      <c r="M87" t="s">
        <v>43</v>
      </c>
      <c r="N87" t="s">
        <v>49</v>
      </c>
      <c r="O87" t="s">
        <v>53</v>
      </c>
    </row>
    <row r="88" spans="1:15" x14ac:dyDescent="0.2">
      <c r="A88" t="s">
        <v>5</v>
      </c>
      <c r="B88" t="s">
        <v>12</v>
      </c>
      <c r="C88" t="s">
        <v>16</v>
      </c>
      <c r="D88" t="s">
        <v>18</v>
      </c>
      <c r="E88" t="s">
        <v>20</v>
      </c>
      <c r="F88" t="s">
        <v>26</v>
      </c>
      <c r="G88" t="s">
        <v>32</v>
      </c>
      <c r="H88" t="s">
        <v>37</v>
      </c>
      <c r="I88">
        <v>17</v>
      </c>
      <c r="J88" t="s">
        <v>83</v>
      </c>
      <c r="K88">
        <v>32.7333</v>
      </c>
      <c r="L88">
        <v>-89.666700000000006</v>
      </c>
      <c r="M88" t="s">
        <v>43</v>
      </c>
      <c r="N88" t="s">
        <v>49</v>
      </c>
      <c r="O88" t="s">
        <v>53</v>
      </c>
    </row>
    <row r="89" spans="1:15" x14ac:dyDescent="0.2">
      <c r="A89" t="s">
        <v>9</v>
      </c>
      <c r="B89" t="s">
        <v>12</v>
      </c>
      <c r="C89" t="s">
        <v>16</v>
      </c>
      <c r="D89" t="s">
        <v>18</v>
      </c>
      <c r="E89" t="s">
        <v>19</v>
      </c>
      <c r="F89" t="s">
        <v>26</v>
      </c>
      <c r="G89" t="s">
        <v>29</v>
      </c>
      <c r="H89" t="s">
        <v>37</v>
      </c>
      <c r="I89">
        <v>5</v>
      </c>
      <c r="J89" t="s">
        <v>71</v>
      </c>
      <c r="K89">
        <v>41.6</v>
      </c>
      <c r="L89">
        <v>-72.7</v>
      </c>
      <c r="M89" t="s">
        <v>43</v>
      </c>
      <c r="N89" t="s">
        <v>49</v>
      </c>
      <c r="O89" t="s">
        <v>53</v>
      </c>
    </row>
    <row r="90" spans="1:15" x14ac:dyDescent="0.2">
      <c r="A90" t="s">
        <v>6</v>
      </c>
      <c r="B90" t="s">
        <v>13</v>
      </c>
      <c r="C90" t="s">
        <v>18</v>
      </c>
      <c r="D90">
        <v>0</v>
      </c>
      <c r="E90" t="s">
        <v>19</v>
      </c>
      <c r="F90" t="s">
        <v>27</v>
      </c>
      <c r="G90" t="s">
        <v>31</v>
      </c>
      <c r="H90" t="s">
        <v>39</v>
      </c>
      <c r="I90">
        <v>999</v>
      </c>
      <c r="J90" t="s">
        <v>90</v>
      </c>
      <c r="K90">
        <v>25</v>
      </c>
      <c r="L90">
        <v>-90</v>
      </c>
      <c r="M90" t="s">
        <v>45</v>
      </c>
      <c r="N90" t="s">
        <v>51</v>
      </c>
      <c r="O90" t="s">
        <v>57</v>
      </c>
    </row>
    <row r="91" spans="1:15" x14ac:dyDescent="0.2">
      <c r="A91" t="s">
        <v>6</v>
      </c>
      <c r="B91" t="s">
        <v>13</v>
      </c>
      <c r="C91" t="s">
        <v>16</v>
      </c>
      <c r="D91" t="s">
        <v>18</v>
      </c>
      <c r="E91" t="s">
        <v>21</v>
      </c>
      <c r="F91" t="s">
        <v>24</v>
      </c>
      <c r="G91" t="s">
        <v>31</v>
      </c>
      <c r="H91" t="s">
        <v>37</v>
      </c>
      <c r="I91">
        <v>1</v>
      </c>
      <c r="J91" t="s">
        <v>67</v>
      </c>
      <c r="K91">
        <v>45.366700000000002</v>
      </c>
      <c r="L91">
        <v>-69.2333</v>
      </c>
      <c r="M91" t="s">
        <v>43</v>
      </c>
      <c r="N91" t="s">
        <v>49</v>
      </c>
      <c r="O91" t="s">
        <v>53</v>
      </c>
    </row>
    <row r="92" spans="1:15" x14ac:dyDescent="0.2">
      <c r="A92" t="s">
        <v>9</v>
      </c>
      <c r="B92" t="s">
        <v>13</v>
      </c>
      <c r="C92" t="s">
        <v>14</v>
      </c>
      <c r="D92" t="s">
        <v>14</v>
      </c>
      <c r="E92" t="s">
        <v>19</v>
      </c>
      <c r="F92" t="s">
        <v>27</v>
      </c>
      <c r="G92" t="s">
        <v>29</v>
      </c>
      <c r="H92" t="s">
        <v>35</v>
      </c>
      <c r="I92">
        <v>22</v>
      </c>
      <c r="J92" t="s">
        <v>88</v>
      </c>
      <c r="K92">
        <v>64.7333</v>
      </c>
      <c r="L92">
        <v>-152.4667</v>
      </c>
      <c r="M92" t="s">
        <v>41</v>
      </c>
      <c r="N92" t="s">
        <v>47</v>
      </c>
      <c r="O92" t="s">
        <v>55</v>
      </c>
    </row>
    <row r="93" spans="1:15" x14ac:dyDescent="0.2">
      <c r="A93" t="s">
        <v>6</v>
      </c>
      <c r="B93" t="s">
        <v>11</v>
      </c>
      <c r="C93" t="s">
        <v>17</v>
      </c>
      <c r="D93">
        <v>0</v>
      </c>
      <c r="E93" t="s">
        <v>19</v>
      </c>
      <c r="F93" t="s">
        <v>27</v>
      </c>
      <c r="G93" t="s">
        <v>31</v>
      </c>
      <c r="H93" t="s">
        <v>38</v>
      </c>
      <c r="I93">
        <v>999</v>
      </c>
      <c r="J93" t="s">
        <v>90</v>
      </c>
      <c r="K93">
        <v>25</v>
      </c>
      <c r="L93">
        <v>-90</v>
      </c>
      <c r="M93" t="s">
        <v>44</v>
      </c>
      <c r="N93" t="s">
        <v>50</v>
      </c>
      <c r="O93" t="s">
        <v>56</v>
      </c>
    </row>
    <row r="94" spans="1:15" x14ac:dyDescent="0.2">
      <c r="A94" t="s">
        <v>6</v>
      </c>
      <c r="B94" t="s">
        <v>11</v>
      </c>
      <c r="C94" t="s">
        <v>17</v>
      </c>
      <c r="D94">
        <v>0</v>
      </c>
      <c r="E94" t="s">
        <v>19</v>
      </c>
      <c r="F94" t="s">
        <v>25</v>
      </c>
      <c r="G94" t="s">
        <v>31</v>
      </c>
      <c r="H94" t="s">
        <v>38</v>
      </c>
      <c r="I94">
        <v>999</v>
      </c>
      <c r="J94" t="s">
        <v>90</v>
      </c>
      <c r="K94">
        <v>25</v>
      </c>
      <c r="L94">
        <v>-90</v>
      </c>
      <c r="M94" t="s">
        <v>44</v>
      </c>
      <c r="N94" t="s">
        <v>50</v>
      </c>
      <c r="O94" t="s">
        <v>56</v>
      </c>
    </row>
    <row r="95" spans="1:15" x14ac:dyDescent="0.2">
      <c r="A95" t="s">
        <v>7</v>
      </c>
      <c r="B95" t="s">
        <v>12</v>
      </c>
      <c r="C95" t="s">
        <v>17</v>
      </c>
      <c r="D95">
        <v>0</v>
      </c>
      <c r="E95" t="s">
        <v>19</v>
      </c>
      <c r="F95" t="s">
        <v>24</v>
      </c>
      <c r="G95" t="s">
        <v>30</v>
      </c>
      <c r="H95" t="s">
        <v>38</v>
      </c>
      <c r="I95">
        <v>999</v>
      </c>
      <c r="J95" t="s">
        <v>90</v>
      </c>
      <c r="K95">
        <v>25</v>
      </c>
      <c r="L95">
        <v>-90</v>
      </c>
      <c r="M95" t="s">
        <v>44</v>
      </c>
      <c r="N95" t="s">
        <v>50</v>
      </c>
      <c r="O95" t="s">
        <v>56</v>
      </c>
    </row>
    <row r="96" spans="1:15" x14ac:dyDescent="0.2">
      <c r="A96" t="s">
        <v>8</v>
      </c>
      <c r="B96" t="s">
        <v>13</v>
      </c>
      <c r="C96" t="s">
        <v>17</v>
      </c>
      <c r="D96">
        <v>0</v>
      </c>
      <c r="E96" t="s">
        <v>19</v>
      </c>
      <c r="F96" t="s">
        <v>26</v>
      </c>
      <c r="G96" t="s">
        <v>29</v>
      </c>
      <c r="H96" t="s">
        <v>38</v>
      </c>
      <c r="I96">
        <v>999</v>
      </c>
      <c r="J96" t="s">
        <v>90</v>
      </c>
      <c r="K96">
        <v>25</v>
      </c>
      <c r="L96">
        <v>-90</v>
      </c>
      <c r="M96" t="s">
        <v>44</v>
      </c>
      <c r="N96" t="s">
        <v>50</v>
      </c>
      <c r="O96" t="s">
        <v>56</v>
      </c>
    </row>
    <row r="97" spans="1:15" x14ac:dyDescent="0.2">
      <c r="A97" t="s">
        <v>8</v>
      </c>
      <c r="B97" t="s">
        <v>11</v>
      </c>
      <c r="C97" t="s">
        <v>17</v>
      </c>
      <c r="D97">
        <v>0</v>
      </c>
      <c r="E97" t="s">
        <v>20</v>
      </c>
      <c r="F97" t="s">
        <v>25</v>
      </c>
      <c r="G97" t="s">
        <v>31</v>
      </c>
      <c r="H97" t="s">
        <v>38</v>
      </c>
      <c r="I97">
        <v>999</v>
      </c>
      <c r="J97" t="s">
        <v>90</v>
      </c>
      <c r="K97">
        <v>25</v>
      </c>
      <c r="L97">
        <v>-90</v>
      </c>
      <c r="M97" t="s">
        <v>44</v>
      </c>
      <c r="N97" t="s">
        <v>50</v>
      </c>
      <c r="O97" t="s">
        <v>56</v>
      </c>
    </row>
    <row r="98" spans="1:15" x14ac:dyDescent="0.2">
      <c r="A98" t="s">
        <v>6</v>
      </c>
      <c r="B98" t="s">
        <v>13</v>
      </c>
      <c r="C98" t="s">
        <v>14</v>
      </c>
      <c r="D98" t="s">
        <v>14</v>
      </c>
      <c r="E98" t="s">
        <v>20</v>
      </c>
      <c r="F98" t="s">
        <v>25</v>
      </c>
      <c r="G98" t="s">
        <v>32</v>
      </c>
      <c r="H98" t="s">
        <v>35</v>
      </c>
      <c r="I98">
        <v>23</v>
      </c>
      <c r="J98" t="s">
        <v>89</v>
      </c>
      <c r="K98">
        <v>20.95</v>
      </c>
      <c r="L98">
        <v>-157.2833</v>
      </c>
      <c r="M98" t="s">
        <v>41</v>
      </c>
      <c r="N98" t="s">
        <v>47</v>
      </c>
      <c r="O98" t="s">
        <v>55</v>
      </c>
    </row>
    <row r="99" spans="1:15" x14ac:dyDescent="0.2">
      <c r="A99" t="s">
        <v>7</v>
      </c>
      <c r="B99" t="s">
        <v>13</v>
      </c>
      <c r="C99" t="s">
        <v>16</v>
      </c>
      <c r="D99" t="s">
        <v>18</v>
      </c>
      <c r="E99" t="s">
        <v>20</v>
      </c>
      <c r="F99" t="s">
        <v>27</v>
      </c>
      <c r="G99" t="s">
        <v>30</v>
      </c>
      <c r="H99" t="s">
        <v>37</v>
      </c>
      <c r="I99">
        <v>10</v>
      </c>
      <c r="J99" t="s">
        <v>76</v>
      </c>
      <c r="K99">
        <v>37.5167</v>
      </c>
      <c r="L99">
        <v>-78.633300000000006</v>
      </c>
      <c r="M99" t="s">
        <v>43</v>
      </c>
      <c r="N99" t="s">
        <v>49</v>
      </c>
      <c r="O99" t="s">
        <v>53</v>
      </c>
    </row>
    <row r="100" spans="1:15" x14ac:dyDescent="0.2">
      <c r="A100" t="s">
        <v>5</v>
      </c>
      <c r="B100" t="s">
        <v>11</v>
      </c>
      <c r="C100" t="s">
        <v>15</v>
      </c>
      <c r="D100" t="s">
        <v>15</v>
      </c>
      <c r="E100" t="s">
        <v>21</v>
      </c>
      <c r="F100" t="s">
        <v>26</v>
      </c>
      <c r="G100" t="s">
        <v>29</v>
      </c>
      <c r="H100" t="s">
        <v>36</v>
      </c>
      <c r="I100">
        <v>99</v>
      </c>
      <c r="J100" t="s">
        <v>22</v>
      </c>
      <c r="K100">
        <v>39.833300000000001</v>
      </c>
      <c r="L100">
        <v>-98.583299999999994</v>
      </c>
      <c r="M100" t="s">
        <v>42</v>
      </c>
      <c r="N100" t="s">
        <v>48</v>
      </c>
      <c r="O100" t="s">
        <v>54</v>
      </c>
    </row>
    <row r="101" spans="1:15" x14ac:dyDescent="0.2">
      <c r="A101" t="s">
        <v>5</v>
      </c>
      <c r="B101" t="s">
        <v>11</v>
      </c>
      <c r="C101" t="s">
        <v>17</v>
      </c>
      <c r="D101">
        <v>0</v>
      </c>
      <c r="E101" t="s">
        <v>19</v>
      </c>
      <c r="F101" t="s">
        <v>24</v>
      </c>
      <c r="G101" t="s">
        <v>32</v>
      </c>
      <c r="H101" t="s">
        <v>38</v>
      </c>
      <c r="I101">
        <v>999</v>
      </c>
      <c r="J101" t="s">
        <v>90</v>
      </c>
      <c r="K101">
        <v>25</v>
      </c>
      <c r="L101">
        <v>-90</v>
      </c>
      <c r="M101" t="s">
        <v>44</v>
      </c>
      <c r="N101" t="s">
        <v>50</v>
      </c>
      <c r="O101" t="s">
        <v>56</v>
      </c>
    </row>
    <row r="102" spans="1:15" x14ac:dyDescent="0.2">
      <c r="A102" t="s">
        <v>7</v>
      </c>
      <c r="B102" t="s">
        <v>11</v>
      </c>
      <c r="C102" t="s">
        <v>18</v>
      </c>
      <c r="D102">
        <v>0</v>
      </c>
      <c r="E102" t="s">
        <v>20</v>
      </c>
      <c r="F102" t="s">
        <v>25</v>
      </c>
      <c r="G102" t="s">
        <v>32</v>
      </c>
      <c r="H102" t="s">
        <v>39</v>
      </c>
      <c r="I102">
        <v>999</v>
      </c>
      <c r="J102" t="s">
        <v>90</v>
      </c>
      <c r="K102">
        <v>25</v>
      </c>
      <c r="L102">
        <v>-90</v>
      </c>
      <c r="M102" t="s">
        <v>45</v>
      </c>
      <c r="N102" t="s">
        <v>51</v>
      </c>
      <c r="O102" t="s">
        <v>57</v>
      </c>
    </row>
    <row r="103" spans="1:15" x14ac:dyDescent="0.2">
      <c r="A103" t="s">
        <v>5</v>
      </c>
      <c r="B103" t="s">
        <v>11</v>
      </c>
      <c r="C103" t="s">
        <v>14</v>
      </c>
      <c r="D103" t="s">
        <v>14</v>
      </c>
      <c r="E103" t="s">
        <v>21</v>
      </c>
      <c r="F103" t="s">
        <v>27</v>
      </c>
      <c r="G103" t="s">
        <v>29</v>
      </c>
      <c r="H103" t="s">
        <v>35</v>
      </c>
      <c r="I103">
        <v>16</v>
      </c>
      <c r="J103" t="s">
        <v>82</v>
      </c>
      <c r="K103">
        <v>30.4</v>
      </c>
      <c r="L103">
        <v>-92.333299999999994</v>
      </c>
      <c r="M103" t="s">
        <v>41</v>
      </c>
      <c r="N103" t="s">
        <v>47</v>
      </c>
      <c r="O103" t="s">
        <v>55</v>
      </c>
    </row>
    <row r="104" spans="1:15" x14ac:dyDescent="0.2">
      <c r="A104" t="s">
        <v>9</v>
      </c>
      <c r="B104" t="s">
        <v>13</v>
      </c>
      <c r="C104" t="s">
        <v>16</v>
      </c>
      <c r="D104" t="s">
        <v>18</v>
      </c>
      <c r="E104" t="s">
        <v>20</v>
      </c>
      <c r="F104" t="s">
        <v>24</v>
      </c>
      <c r="G104" t="s">
        <v>31</v>
      </c>
      <c r="H104" t="s">
        <v>37</v>
      </c>
      <c r="I104">
        <v>7</v>
      </c>
      <c r="J104" t="s">
        <v>73</v>
      </c>
      <c r="K104">
        <v>39.833300000000001</v>
      </c>
      <c r="L104">
        <v>-74.866699999999994</v>
      </c>
      <c r="M104" t="s">
        <v>43</v>
      </c>
      <c r="N104" t="s">
        <v>49</v>
      </c>
      <c r="O104" t="s">
        <v>53</v>
      </c>
    </row>
    <row r="105" spans="1:15" x14ac:dyDescent="0.2">
      <c r="A105" t="s">
        <v>6</v>
      </c>
      <c r="B105" t="s">
        <v>12</v>
      </c>
      <c r="C105" t="s">
        <v>18</v>
      </c>
      <c r="D105">
        <v>0</v>
      </c>
      <c r="E105" t="s">
        <v>20</v>
      </c>
      <c r="F105" t="s">
        <v>26</v>
      </c>
      <c r="G105" t="s">
        <v>31</v>
      </c>
      <c r="H105" t="s">
        <v>39</v>
      </c>
      <c r="I105">
        <v>999</v>
      </c>
      <c r="J105" t="s">
        <v>90</v>
      </c>
      <c r="K105">
        <v>25</v>
      </c>
      <c r="L105">
        <v>-90</v>
      </c>
      <c r="M105" t="s">
        <v>45</v>
      </c>
      <c r="N105" t="s">
        <v>51</v>
      </c>
      <c r="O105" t="s">
        <v>57</v>
      </c>
    </row>
    <row r="106" spans="1:15" x14ac:dyDescent="0.2">
      <c r="A106" t="s">
        <v>7</v>
      </c>
      <c r="B106" t="s">
        <v>12</v>
      </c>
      <c r="C106" t="s">
        <v>14</v>
      </c>
      <c r="D106" t="s">
        <v>14</v>
      </c>
      <c r="E106" t="s">
        <v>21</v>
      </c>
      <c r="F106" t="s">
        <v>27</v>
      </c>
      <c r="G106" t="s">
        <v>29</v>
      </c>
      <c r="H106" t="s">
        <v>35</v>
      </c>
      <c r="I106">
        <v>21</v>
      </c>
      <c r="J106" t="s">
        <v>87</v>
      </c>
      <c r="K106">
        <v>47.75</v>
      </c>
      <c r="L106">
        <v>-120.7333</v>
      </c>
      <c r="M106" t="s">
        <v>41</v>
      </c>
      <c r="N106" t="s">
        <v>47</v>
      </c>
      <c r="O106" t="s">
        <v>55</v>
      </c>
    </row>
    <row r="107" spans="1:15" x14ac:dyDescent="0.2">
      <c r="A107" t="s">
        <v>9</v>
      </c>
      <c r="B107" t="s">
        <v>12</v>
      </c>
      <c r="C107" t="s">
        <v>15</v>
      </c>
      <c r="D107" t="s">
        <v>15</v>
      </c>
      <c r="E107" t="s">
        <v>21</v>
      </c>
      <c r="F107" t="s">
        <v>26</v>
      </c>
      <c r="G107" t="s">
        <v>31</v>
      </c>
      <c r="H107" t="s">
        <v>36</v>
      </c>
      <c r="I107">
        <v>99</v>
      </c>
      <c r="J107" t="s">
        <v>22</v>
      </c>
      <c r="K107">
        <v>39.833300000000001</v>
      </c>
      <c r="L107">
        <v>-98.583299999999994</v>
      </c>
      <c r="M107" t="s">
        <v>42</v>
      </c>
      <c r="N107" t="s">
        <v>48</v>
      </c>
      <c r="O107" t="s">
        <v>54</v>
      </c>
    </row>
    <row r="108" spans="1:15" x14ac:dyDescent="0.2">
      <c r="A108" t="s">
        <v>6</v>
      </c>
      <c r="B108" t="s">
        <v>11</v>
      </c>
      <c r="C108" t="s">
        <v>18</v>
      </c>
      <c r="D108">
        <v>0</v>
      </c>
      <c r="E108" t="s">
        <v>19</v>
      </c>
      <c r="F108" t="s">
        <v>24</v>
      </c>
      <c r="G108" t="s">
        <v>29</v>
      </c>
      <c r="H108" t="s">
        <v>39</v>
      </c>
      <c r="I108">
        <v>999</v>
      </c>
      <c r="J108" t="s">
        <v>90</v>
      </c>
      <c r="K108">
        <v>25</v>
      </c>
      <c r="L108">
        <v>-90</v>
      </c>
      <c r="M108" t="s">
        <v>45</v>
      </c>
      <c r="N108" t="s">
        <v>51</v>
      </c>
      <c r="O108" t="s">
        <v>57</v>
      </c>
    </row>
    <row r="109" spans="1:15" x14ac:dyDescent="0.2">
      <c r="A109" t="s">
        <v>9</v>
      </c>
      <c r="B109" t="s">
        <v>11</v>
      </c>
      <c r="C109" t="s">
        <v>17</v>
      </c>
      <c r="D109">
        <v>0</v>
      </c>
      <c r="E109" t="s">
        <v>20</v>
      </c>
      <c r="F109" t="s">
        <v>26</v>
      </c>
      <c r="G109" t="s">
        <v>30</v>
      </c>
      <c r="H109" t="s">
        <v>38</v>
      </c>
      <c r="I109">
        <v>999</v>
      </c>
      <c r="J109" t="s">
        <v>90</v>
      </c>
      <c r="K109">
        <v>25</v>
      </c>
      <c r="L109">
        <v>-90</v>
      </c>
      <c r="M109" t="s">
        <v>44</v>
      </c>
      <c r="N109" t="s">
        <v>50</v>
      </c>
      <c r="O109" t="s">
        <v>56</v>
      </c>
    </row>
    <row r="110" spans="1:15" x14ac:dyDescent="0.2">
      <c r="A110" t="s">
        <v>7</v>
      </c>
      <c r="B110" t="s">
        <v>12</v>
      </c>
      <c r="C110" t="s">
        <v>15</v>
      </c>
      <c r="D110" t="s">
        <v>15</v>
      </c>
      <c r="E110" t="s">
        <v>20</v>
      </c>
      <c r="F110" t="s">
        <v>26</v>
      </c>
      <c r="G110" t="s">
        <v>30</v>
      </c>
      <c r="H110" t="s">
        <v>36</v>
      </c>
      <c r="I110">
        <v>99</v>
      </c>
      <c r="J110" t="s">
        <v>22</v>
      </c>
      <c r="K110">
        <v>39.833300000000001</v>
      </c>
      <c r="L110">
        <v>-98.583299999999994</v>
      </c>
      <c r="M110" t="s">
        <v>42</v>
      </c>
      <c r="N110" t="s">
        <v>48</v>
      </c>
      <c r="O110" t="s">
        <v>54</v>
      </c>
    </row>
    <row r="111" spans="1:15" x14ac:dyDescent="0.2">
      <c r="A111" t="s">
        <v>10</v>
      </c>
      <c r="B111" t="s">
        <v>13</v>
      </c>
      <c r="C111" t="s">
        <v>14</v>
      </c>
      <c r="D111" t="s">
        <v>14</v>
      </c>
      <c r="E111" t="s">
        <v>21</v>
      </c>
      <c r="F111" t="s">
        <v>24</v>
      </c>
      <c r="G111" t="s">
        <v>29</v>
      </c>
      <c r="H111" t="s">
        <v>35</v>
      </c>
      <c r="I111">
        <v>14</v>
      </c>
      <c r="J111" t="s">
        <v>80</v>
      </c>
      <c r="K111">
        <v>28.133299999999998</v>
      </c>
      <c r="L111">
        <v>-81.633300000000006</v>
      </c>
      <c r="M111" t="s">
        <v>41</v>
      </c>
      <c r="N111" t="s">
        <v>47</v>
      </c>
      <c r="O111" t="s">
        <v>55</v>
      </c>
    </row>
    <row r="112" spans="1:15" x14ac:dyDescent="0.2">
      <c r="A112" t="s">
        <v>7</v>
      </c>
      <c r="B112" t="s">
        <v>12</v>
      </c>
      <c r="C112" t="s">
        <v>16</v>
      </c>
      <c r="D112" t="s">
        <v>18</v>
      </c>
      <c r="E112" t="s">
        <v>21</v>
      </c>
      <c r="F112" t="s">
        <v>26</v>
      </c>
      <c r="G112" t="s">
        <v>32</v>
      </c>
      <c r="H112" t="s">
        <v>37</v>
      </c>
      <c r="I112">
        <v>12</v>
      </c>
      <c r="J112" t="s">
        <v>78</v>
      </c>
      <c r="K112">
        <v>33.833300000000001</v>
      </c>
      <c r="L112">
        <v>-81.166700000000006</v>
      </c>
      <c r="M112" t="s">
        <v>43</v>
      </c>
      <c r="N112" t="s">
        <v>49</v>
      </c>
      <c r="O112" t="s">
        <v>53</v>
      </c>
    </row>
    <row r="113" spans="1:15" x14ac:dyDescent="0.2">
      <c r="A113" t="s">
        <v>6</v>
      </c>
      <c r="B113" t="s">
        <v>11</v>
      </c>
      <c r="C113" t="s">
        <v>17</v>
      </c>
      <c r="D113">
        <v>0</v>
      </c>
      <c r="E113" t="s">
        <v>19</v>
      </c>
      <c r="F113" t="s">
        <v>25</v>
      </c>
      <c r="G113" t="s">
        <v>31</v>
      </c>
      <c r="H113" t="s">
        <v>38</v>
      </c>
      <c r="I113">
        <v>999</v>
      </c>
      <c r="J113" t="s">
        <v>90</v>
      </c>
      <c r="K113">
        <v>25</v>
      </c>
      <c r="L113">
        <v>-90</v>
      </c>
      <c r="M113" t="s">
        <v>44</v>
      </c>
      <c r="N113" t="s">
        <v>50</v>
      </c>
      <c r="O113" t="s">
        <v>56</v>
      </c>
    </row>
    <row r="114" spans="1:15" x14ac:dyDescent="0.2">
      <c r="A114" t="s">
        <v>7</v>
      </c>
      <c r="B114" t="s">
        <v>13</v>
      </c>
      <c r="C114" t="s">
        <v>16</v>
      </c>
      <c r="D114" t="s">
        <v>18</v>
      </c>
      <c r="E114" t="s">
        <v>20</v>
      </c>
      <c r="F114" t="s">
        <v>25</v>
      </c>
      <c r="G114" t="s">
        <v>31</v>
      </c>
      <c r="H114" t="s">
        <v>37</v>
      </c>
      <c r="I114">
        <v>3</v>
      </c>
      <c r="J114" t="s">
        <v>69</v>
      </c>
      <c r="K114">
        <v>42.4</v>
      </c>
      <c r="L114">
        <v>-71.383300000000006</v>
      </c>
      <c r="M114" t="s">
        <v>43</v>
      </c>
      <c r="N114" t="s">
        <v>49</v>
      </c>
      <c r="O114" t="s">
        <v>53</v>
      </c>
    </row>
    <row r="115" spans="1:15" x14ac:dyDescent="0.2">
      <c r="A115" t="s">
        <v>7</v>
      </c>
      <c r="B115" t="s">
        <v>12</v>
      </c>
      <c r="C115" t="s">
        <v>16</v>
      </c>
      <c r="D115" t="s">
        <v>18</v>
      </c>
      <c r="E115" t="s">
        <v>19</v>
      </c>
      <c r="F115" t="s">
        <v>24</v>
      </c>
      <c r="G115" t="s">
        <v>32</v>
      </c>
      <c r="H115" t="s">
        <v>37</v>
      </c>
      <c r="I115">
        <v>12</v>
      </c>
      <c r="J115" t="s">
        <v>78</v>
      </c>
      <c r="K115">
        <v>33.833300000000001</v>
      </c>
      <c r="L115">
        <v>-81.166700000000006</v>
      </c>
      <c r="M115" t="s">
        <v>43</v>
      </c>
      <c r="N115" t="s">
        <v>49</v>
      </c>
      <c r="O115" t="s">
        <v>53</v>
      </c>
    </row>
    <row r="116" spans="1:15" x14ac:dyDescent="0.2">
      <c r="A116" t="s">
        <v>6</v>
      </c>
      <c r="B116" t="s">
        <v>13</v>
      </c>
      <c r="C116" t="s">
        <v>17</v>
      </c>
      <c r="D116">
        <v>0</v>
      </c>
      <c r="E116" t="s">
        <v>20</v>
      </c>
      <c r="F116" t="s">
        <v>27</v>
      </c>
      <c r="G116" t="s">
        <v>30</v>
      </c>
      <c r="H116" t="s">
        <v>38</v>
      </c>
      <c r="I116">
        <v>999</v>
      </c>
      <c r="J116" t="s">
        <v>90</v>
      </c>
      <c r="K116">
        <v>25</v>
      </c>
      <c r="L116">
        <v>-90</v>
      </c>
      <c r="M116" t="s">
        <v>44</v>
      </c>
      <c r="N116" t="s">
        <v>50</v>
      </c>
      <c r="O116" t="s">
        <v>56</v>
      </c>
    </row>
    <row r="117" spans="1:15" x14ac:dyDescent="0.2">
      <c r="A117" t="s">
        <v>5</v>
      </c>
      <c r="B117" t="s">
        <v>13</v>
      </c>
      <c r="C117" t="s">
        <v>14</v>
      </c>
      <c r="D117" t="s">
        <v>14</v>
      </c>
      <c r="E117" t="s">
        <v>20</v>
      </c>
      <c r="F117" t="s">
        <v>26</v>
      </c>
      <c r="G117" t="s">
        <v>30</v>
      </c>
      <c r="H117" t="s">
        <v>35</v>
      </c>
      <c r="I117">
        <v>17</v>
      </c>
      <c r="J117" t="s">
        <v>83</v>
      </c>
      <c r="K117">
        <v>32.7333</v>
      </c>
      <c r="L117">
        <v>-89.666700000000006</v>
      </c>
      <c r="M117" t="s">
        <v>41</v>
      </c>
      <c r="N117" t="s">
        <v>47</v>
      </c>
      <c r="O117" t="s">
        <v>55</v>
      </c>
    </row>
    <row r="118" spans="1:15" x14ac:dyDescent="0.2">
      <c r="A118" t="s">
        <v>10</v>
      </c>
      <c r="B118" t="s">
        <v>12</v>
      </c>
      <c r="C118" t="s">
        <v>17</v>
      </c>
      <c r="D118">
        <v>0</v>
      </c>
      <c r="E118" t="s">
        <v>19</v>
      </c>
      <c r="F118" t="s">
        <v>25</v>
      </c>
      <c r="G118" t="s">
        <v>32</v>
      </c>
      <c r="H118" t="s">
        <v>38</v>
      </c>
      <c r="I118">
        <v>999</v>
      </c>
      <c r="J118" t="s">
        <v>90</v>
      </c>
      <c r="K118">
        <v>25</v>
      </c>
      <c r="L118">
        <v>-90</v>
      </c>
      <c r="M118" t="s">
        <v>44</v>
      </c>
      <c r="N118" t="s">
        <v>50</v>
      </c>
      <c r="O118" t="s">
        <v>56</v>
      </c>
    </row>
    <row r="119" spans="1:15" x14ac:dyDescent="0.2">
      <c r="A119" t="s">
        <v>6</v>
      </c>
      <c r="B119" t="s">
        <v>11</v>
      </c>
      <c r="C119" t="s">
        <v>14</v>
      </c>
      <c r="D119" t="s">
        <v>14</v>
      </c>
      <c r="E119" t="s">
        <v>21</v>
      </c>
      <c r="F119" t="s">
        <v>27</v>
      </c>
      <c r="G119" t="s">
        <v>32</v>
      </c>
      <c r="H119" t="s">
        <v>35</v>
      </c>
      <c r="I119">
        <v>15</v>
      </c>
      <c r="J119" t="s">
        <v>81</v>
      </c>
      <c r="K119">
        <v>31.466699999999999</v>
      </c>
      <c r="L119">
        <v>-99.333299999999994</v>
      </c>
      <c r="M119" t="s">
        <v>41</v>
      </c>
      <c r="N119" t="s">
        <v>47</v>
      </c>
      <c r="O119" t="s">
        <v>55</v>
      </c>
    </row>
    <row r="120" spans="1:15" x14ac:dyDescent="0.2">
      <c r="A120" t="s">
        <v>6</v>
      </c>
      <c r="B120" t="s">
        <v>11</v>
      </c>
      <c r="C120" t="s">
        <v>14</v>
      </c>
      <c r="D120" t="s">
        <v>14</v>
      </c>
      <c r="E120" t="s">
        <v>19</v>
      </c>
      <c r="F120" t="s">
        <v>25</v>
      </c>
      <c r="G120" t="s">
        <v>32</v>
      </c>
      <c r="H120" t="s">
        <v>35</v>
      </c>
      <c r="I120">
        <v>3</v>
      </c>
      <c r="J120" t="s">
        <v>69</v>
      </c>
      <c r="K120">
        <v>42.4</v>
      </c>
      <c r="L120">
        <v>-71.383300000000006</v>
      </c>
      <c r="M120" t="s">
        <v>41</v>
      </c>
      <c r="N120" t="s">
        <v>47</v>
      </c>
      <c r="O120" t="s">
        <v>55</v>
      </c>
    </row>
    <row r="121" spans="1:15" x14ac:dyDescent="0.2">
      <c r="A121" t="s">
        <v>8</v>
      </c>
      <c r="B121" t="s">
        <v>13</v>
      </c>
      <c r="C121" t="s">
        <v>15</v>
      </c>
      <c r="D121" t="s">
        <v>15</v>
      </c>
      <c r="E121" t="s">
        <v>20</v>
      </c>
      <c r="F121" t="s">
        <v>27</v>
      </c>
      <c r="G121" t="s">
        <v>31</v>
      </c>
      <c r="H121" t="s">
        <v>36</v>
      </c>
      <c r="I121">
        <v>99</v>
      </c>
      <c r="J121" t="s">
        <v>22</v>
      </c>
      <c r="K121">
        <v>39.833300000000001</v>
      </c>
      <c r="L121">
        <v>-98.583299999999994</v>
      </c>
      <c r="M121" t="s">
        <v>42</v>
      </c>
      <c r="N121" t="s">
        <v>48</v>
      </c>
      <c r="O121" t="s">
        <v>54</v>
      </c>
    </row>
    <row r="122" spans="1:15" x14ac:dyDescent="0.2">
      <c r="A122" t="s">
        <v>8</v>
      </c>
      <c r="B122" t="s">
        <v>12</v>
      </c>
      <c r="C122" t="s">
        <v>17</v>
      </c>
      <c r="D122">
        <v>0</v>
      </c>
      <c r="E122" t="s">
        <v>20</v>
      </c>
      <c r="F122" t="s">
        <v>24</v>
      </c>
      <c r="G122" t="s">
        <v>30</v>
      </c>
      <c r="H122" t="s">
        <v>38</v>
      </c>
      <c r="I122">
        <v>999</v>
      </c>
      <c r="J122" t="s">
        <v>90</v>
      </c>
      <c r="K122">
        <v>25</v>
      </c>
      <c r="L122">
        <v>-90</v>
      </c>
      <c r="M122" t="s">
        <v>44</v>
      </c>
      <c r="N122" t="s">
        <v>50</v>
      </c>
      <c r="O122" t="s">
        <v>56</v>
      </c>
    </row>
    <row r="123" spans="1:15" x14ac:dyDescent="0.2">
      <c r="A123" t="s">
        <v>7</v>
      </c>
      <c r="B123" t="s">
        <v>13</v>
      </c>
      <c r="C123" t="s">
        <v>17</v>
      </c>
      <c r="D123">
        <v>0</v>
      </c>
      <c r="E123" t="s">
        <v>21</v>
      </c>
      <c r="F123" t="s">
        <v>25</v>
      </c>
      <c r="G123" t="s">
        <v>29</v>
      </c>
      <c r="H123" t="s">
        <v>38</v>
      </c>
      <c r="I123">
        <v>999</v>
      </c>
      <c r="J123" t="s">
        <v>90</v>
      </c>
      <c r="K123">
        <v>25</v>
      </c>
      <c r="L123">
        <v>-90</v>
      </c>
      <c r="M123" t="s">
        <v>44</v>
      </c>
      <c r="N123" t="s">
        <v>50</v>
      </c>
      <c r="O123" t="s">
        <v>56</v>
      </c>
    </row>
    <row r="124" spans="1:15" x14ac:dyDescent="0.2">
      <c r="A124" t="s">
        <v>9</v>
      </c>
      <c r="B124" t="s">
        <v>11</v>
      </c>
      <c r="C124" t="s">
        <v>15</v>
      </c>
      <c r="D124" t="s">
        <v>15</v>
      </c>
      <c r="E124" t="s">
        <v>19</v>
      </c>
      <c r="F124" t="s">
        <v>24</v>
      </c>
      <c r="G124" t="s">
        <v>29</v>
      </c>
      <c r="H124" t="s">
        <v>36</v>
      </c>
      <c r="I124">
        <v>99</v>
      </c>
      <c r="J124" t="s">
        <v>22</v>
      </c>
      <c r="K124">
        <v>39.833300000000001</v>
      </c>
      <c r="L124">
        <v>-98.583299999999994</v>
      </c>
      <c r="M124" t="s">
        <v>42</v>
      </c>
      <c r="N124" t="s">
        <v>48</v>
      </c>
      <c r="O124" t="s">
        <v>54</v>
      </c>
    </row>
    <row r="125" spans="1:15" x14ac:dyDescent="0.2">
      <c r="A125" t="s">
        <v>7</v>
      </c>
      <c r="B125" t="s">
        <v>13</v>
      </c>
      <c r="C125" t="s">
        <v>14</v>
      </c>
      <c r="D125" t="s">
        <v>14</v>
      </c>
      <c r="E125" t="s">
        <v>19</v>
      </c>
      <c r="F125" t="s">
        <v>24</v>
      </c>
      <c r="G125" t="s">
        <v>32</v>
      </c>
      <c r="H125" t="s">
        <v>35</v>
      </c>
      <c r="I125">
        <v>22</v>
      </c>
      <c r="J125" t="s">
        <v>88</v>
      </c>
      <c r="K125">
        <v>64.7333</v>
      </c>
      <c r="L125">
        <v>-152.4667</v>
      </c>
      <c r="M125" t="s">
        <v>41</v>
      </c>
      <c r="N125" t="s">
        <v>47</v>
      </c>
      <c r="O125" t="s">
        <v>55</v>
      </c>
    </row>
    <row r="126" spans="1:15" x14ac:dyDescent="0.2">
      <c r="A126" t="s">
        <v>6</v>
      </c>
      <c r="B126" t="s">
        <v>13</v>
      </c>
      <c r="C126" t="s">
        <v>16</v>
      </c>
      <c r="D126" t="s">
        <v>18</v>
      </c>
      <c r="E126" t="s">
        <v>20</v>
      </c>
      <c r="F126" t="s">
        <v>26</v>
      </c>
      <c r="G126" t="s">
        <v>29</v>
      </c>
      <c r="H126" t="s">
        <v>37</v>
      </c>
      <c r="I126">
        <v>6</v>
      </c>
      <c r="J126" t="s">
        <v>72</v>
      </c>
      <c r="K126">
        <v>42.966700000000003</v>
      </c>
      <c r="L126">
        <v>-75.5167</v>
      </c>
      <c r="M126" t="s">
        <v>43</v>
      </c>
      <c r="N126" t="s">
        <v>49</v>
      </c>
      <c r="O126" t="s">
        <v>53</v>
      </c>
    </row>
    <row r="127" spans="1:15" x14ac:dyDescent="0.2">
      <c r="A127" t="s">
        <v>7</v>
      </c>
      <c r="B127" t="s">
        <v>13</v>
      </c>
      <c r="C127" t="s">
        <v>15</v>
      </c>
      <c r="D127" t="s">
        <v>15</v>
      </c>
      <c r="E127" t="s">
        <v>20</v>
      </c>
      <c r="F127" t="s">
        <v>25</v>
      </c>
      <c r="G127" t="s">
        <v>29</v>
      </c>
      <c r="H127" t="s">
        <v>36</v>
      </c>
      <c r="I127">
        <v>99</v>
      </c>
      <c r="J127" t="s">
        <v>22</v>
      </c>
      <c r="K127">
        <v>39.833300000000001</v>
      </c>
      <c r="L127">
        <v>-98.583299999999994</v>
      </c>
      <c r="M127" t="s">
        <v>42</v>
      </c>
      <c r="N127" t="s">
        <v>48</v>
      </c>
      <c r="O127" t="s">
        <v>54</v>
      </c>
    </row>
    <row r="128" spans="1:15" x14ac:dyDescent="0.2">
      <c r="A128" t="s">
        <v>8</v>
      </c>
      <c r="B128" t="s">
        <v>13</v>
      </c>
      <c r="C128" t="s">
        <v>16</v>
      </c>
      <c r="D128" t="s">
        <v>18</v>
      </c>
      <c r="E128" t="s">
        <v>20</v>
      </c>
      <c r="F128" t="s">
        <v>27</v>
      </c>
      <c r="G128" t="s">
        <v>32</v>
      </c>
      <c r="H128" t="s">
        <v>37</v>
      </c>
      <c r="I128">
        <v>2</v>
      </c>
      <c r="J128" t="s">
        <v>68</v>
      </c>
      <c r="K128">
        <v>43.683300000000003</v>
      </c>
      <c r="L128">
        <v>-71.583299999999994</v>
      </c>
      <c r="M128" t="s">
        <v>43</v>
      </c>
      <c r="N128" t="s">
        <v>49</v>
      </c>
      <c r="O128" t="s">
        <v>53</v>
      </c>
    </row>
    <row r="129" spans="1:15" x14ac:dyDescent="0.2">
      <c r="A129" t="s">
        <v>6</v>
      </c>
      <c r="B129" t="s">
        <v>13</v>
      </c>
      <c r="C129" t="s">
        <v>18</v>
      </c>
      <c r="D129">
        <v>0</v>
      </c>
      <c r="E129" t="s">
        <v>20</v>
      </c>
      <c r="F129" t="s">
        <v>26</v>
      </c>
      <c r="G129" t="s">
        <v>32</v>
      </c>
      <c r="H129" t="s">
        <v>39</v>
      </c>
      <c r="I129">
        <v>999</v>
      </c>
      <c r="J129" t="s">
        <v>90</v>
      </c>
      <c r="K129">
        <v>25</v>
      </c>
      <c r="L129">
        <v>-90</v>
      </c>
      <c r="M129" t="s">
        <v>45</v>
      </c>
      <c r="N129" t="s">
        <v>51</v>
      </c>
      <c r="O129" t="s">
        <v>57</v>
      </c>
    </row>
    <row r="130" spans="1:15" x14ac:dyDescent="0.2">
      <c r="A130" t="s">
        <v>8</v>
      </c>
      <c r="B130" t="s">
        <v>13</v>
      </c>
      <c r="C130" t="s">
        <v>16</v>
      </c>
      <c r="D130" t="s">
        <v>18</v>
      </c>
      <c r="E130" t="s">
        <v>20</v>
      </c>
      <c r="F130" t="s">
        <v>27</v>
      </c>
      <c r="G130" t="s">
        <v>31</v>
      </c>
      <c r="H130" t="s">
        <v>37</v>
      </c>
      <c r="I130">
        <v>18</v>
      </c>
      <c r="J130" t="s">
        <v>84</v>
      </c>
      <c r="K130">
        <v>32.833300000000001</v>
      </c>
      <c r="L130">
        <v>-86.633300000000006</v>
      </c>
      <c r="M130" t="s">
        <v>43</v>
      </c>
      <c r="N130" t="s">
        <v>49</v>
      </c>
      <c r="O130" t="s">
        <v>53</v>
      </c>
    </row>
    <row r="131" spans="1:15" x14ac:dyDescent="0.2">
      <c r="A131" t="s">
        <v>10</v>
      </c>
      <c r="B131" t="s">
        <v>11</v>
      </c>
      <c r="C131" t="s">
        <v>17</v>
      </c>
      <c r="D131">
        <v>0</v>
      </c>
      <c r="E131" t="s">
        <v>19</v>
      </c>
      <c r="F131" t="s">
        <v>26</v>
      </c>
      <c r="G131" t="s">
        <v>31</v>
      </c>
      <c r="H131" t="s">
        <v>38</v>
      </c>
      <c r="I131">
        <v>999</v>
      </c>
      <c r="J131" t="s">
        <v>90</v>
      </c>
      <c r="K131">
        <v>25</v>
      </c>
      <c r="L131">
        <v>-90</v>
      </c>
      <c r="M131" t="s">
        <v>44</v>
      </c>
      <c r="N131" t="s">
        <v>50</v>
      </c>
      <c r="O131" t="s">
        <v>56</v>
      </c>
    </row>
    <row r="132" spans="1:15" x14ac:dyDescent="0.2">
      <c r="A132" t="s">
        <v>6</v>
      </c>
      <c r="B132" t="s">
        <v>12</v>
      </c>
      <c r="C132" t="s">
        <v>15</v>
      </c>
      <c r="D132" t="s">
        <v>15</v>
      </c>
      <c r="E132" t="s">
        <v>20</v>
      </c>
      <c r="F132" t="s">
        <v>26</v>
      </c>
      <c r="G132" t="s">
        <v>30</v>
      </c>
      <c r="H132" t="s">
        <v>36</v>
      </c>
      <c r="I132">
        <v>99</v>
      </c>
      <c r="J132" t="s">
        <v>22</v>
      </c>
      <c r="K132">
        <v>39.833300000000001</v>
      </c>
      <c r="L132">
        <v>-98.583299999999994</v>
      </c>
      <c r="M132" t="s">
        <v>42</v>
      </c>
      <c r="N132" t="s">
        <v>48</v>
      </c>
      <c r="O132" t="s">
        <v>54</v>
      </c>
    </row>
    <row r="133" spans="1:15" x14ac:dyDescent="0.2">
      <c r="A133" t="s">
        <v>10</v>
      </c>
      <c r="B133" t="s">
        <v>13</v>
      </c>
      <c r="C133" t="s">
        <v>18</v>
      </c>
      <c r="D133">
        <v>0</v>
      </c>
      <c r="E133" t="s">
        <v>21</v>
      </c>
      <c r="F133" t="s">
        <v>24</v>
      </c>
      <c r="G133" t="s">
        <v>31</v>
      </c>
      <c r="H133" t="s">
        <v>39</v>
      </c>
      <c r="I133">
        <v>999</v>
      </c>
      <c r="J133" t="s">
        <v>90</v>
      </c>
      <c r="K133">
        <v>25</v>
      </c>
      <c r="L133">
        <v>-90</v>
      </c>
      <c r="M133" t="s">
        <v>45</v>
      </c>
      <c r="N133" t="s">
        <v>51</v>
      </c>
      <c r="O133" t="s">
        <v>57</v>
      </c>
    </row>
    <row r="134" spans="1:15" x14ac:dyDescent="0.2">
      <c r="A134" t="s">
        <v>6</v>
      </c>
      <c r="B134" t="s">
        <v>13</v>
      </c>
      <c r="C134" t="s">
        <v>14</v>
      </c>
      <c r="D134" t="s">
        <v>14</v>
      </c>
      <c r="E134" t="s">
        <v>19</v>
      </c>
      <c r="F134" t="s">
        <v>25</v>
      </c>
      <c r="G134" t="s">
        <v>30</v>
      </c>
      <c r="H134" t="s">
        <v>35</v>
      </c>
      <c r="I134">
        <v>20</v>
      </c>
      <c r="J134" t="s">
        <v>86</v>
      </c>
      <c r="K134">
        <v>43.933300000000003</v>
      </c>
      <c r="L134">
        <v>-120.5667</v>
      </c>
      <c r="M134" t="s">
        <v>41</v>
      </c>
      <c r="N134" t="s">
        <v>47</v>
      </c>
      <c r="O134" t="s">
        <v>55</v>
      </c>
    </row>
    <row r="135" spans="1:15" x14ac:dyDescent="0.2">
      <c r="A135" t="s">
        <v>6</v>
      </c>
      <c r="B135" t="s">
        <v>12</v>
      </c>
      <c r="C135" t="s">
        <v>18</v>
      </c>
      <c r="D135">
        <v>0</v>
      </c>
      <c r="E135" t="s">
        <v>19</v>
      </c>
      <c r="F135" t="s">
        <v>27</v>
      </c>
      <c r="G135" t="s">
        <v>29</v>
      </c>
      <c r="H135" t="s">
        <v>39</v>
      </c>
      <c r="I135">
        <v>999</v>
      </c>
      <c r="J135" t="s">
        <v>90</v>
      </c>
      <c r="K135">
        <v>25</v>
      </c>
      <c r="L135">
        <v>-90</v>
      </c>
      <c r="M135" t="s">
        <v>45</v>
      </c>
      <c r="N135" t="s">
        <v>51</v>
      </c>
      <c r="O135" t="s">
        <v>57</v>
      </c>
    </row>
    <row r="136" spans="1:15" x14ac:dyDescent="0.2">
      <c r="A136" t="s">
        <v>8</v>
      </c>
      <c r="B136" t="s">
        <v>12</v>
      </c>
      <c r="C136" t="s">
        <v>18</v>
      </c>
      <c r="D136">
        <v>0</v>
      </c>
      <c r="E136" t="s">
        <v>19</v>
      </c>
      <c r="F136" t="s">
        <v>25</v>
      </c>
      <c r="G136" t="s">
        <v>29</v>
      </c>
      <c r="H136" t="s">
        <v>39</v>
      </c>
      <c r="I136">
        <v>999</v>
      </c>
      <c r="J136" t="s">
        <v>90</v>
      </c>
      <c r="K136">
        <v>25</v>
      </c>
      <c r="L136">
        <v>-90</v>
      </c>
      <c r="M136" t="s">
        <v>45</v>
      </c>
      <c r="N136" t="s">
        <v>51</v>
      </c>
      <c r="O136" t="s">
        <v>57</v>
      </c>
    </row>
    <row r="137" spans="1:15" x14ac:dyDescent="0.2">
      <c r="A137" t="s">
        <v>9</v>
      </c>
      <c r="B137" t="s">
        <v>12</v>
      </c>
      <c r="C137" t="s">
        <v>16</v>
      </c>
      <c r="D137" t="s">
        <v>18</v>
      </c>
      <c r="E137" t="s">
        <v>21</v>
      </c>
      <c r="F137" t="s">
        <v>24</v>
      </c>
      <c r="G137" t="s">
        <v>29</v>
      </c>
      <c r="H137" t="s">
        <v>37</v>
      </c>
      <c r="I137">
        <v>11</v>
      </c>
      <c r="J137" t="s">
        <v>77</v>
      </c>
      <c r="K137">
        <v>35.783299999999997</v>
      </c>
      <c r="L137">
        <v>-79.816699999999997</v>
      </c>
      <c r="M137" t="s">
        <v>43</v>
      </c>
      <c r="N137" t="s">
        <v>49</v>
      </c>
      <c r="O137" t="s">
        <v>53</v>
      </c>
    </row>
    <row r="138" spans="1:15" x14ac:dyDescent="0.2">
      <c r="A138" t="s">
        <v>8</v>
      </c>
      <c r="B138" t="s">
        <v>12</v>
      </c>
      <c r="C138" t="s">
        <v>17</v>
      </c>
      <c r="D138">
        <v>0</v>
      </c>
      <c r="E138" t="s">
        <v>20</v>
      </c>
      <c r="F138" t="s">
        <v>26</v>
      </c>
      <c r="G138" t="s">
        <v>30</v>
      </c>
      <c r="H138" t="s">
        <v>38</v>
      </c>
      <c r="I138">
        <v>999</v>
      </c>
      <c r="J138" t="s">
        <v>90</v>
      </c>
      <c r="K138">
        <v>25</v>
      </c>
      <c r="L138">
        <v>-90</v>
      </c>
      <c r="M138" t="s">
        <v>44</v>
      </c>
      <c r="N138" t="s">
        <v>50</v>
      </c>
      <c r="O138" t="s">
        <v>56</v>
      </c>
    </row>
    <row r="139" spans="1:15" x14ac:dyDescent="0.2">
      <c r="A139" t="s">
        <v>5</v>
      </c>
      <c r="B139" t="s">
        <v>13</v>
      </c>
      <c r="C139" t="s">
        <v>18</v>
      </c>
      <c r="D139">
        <v>0</v>
      </c>
      <c r="E139" t="s">
        <v>21</v>
      </c>
      <c r="F139" t="s">
        <v>25</v>
      </c>
      <c r="G139" t="s">
        <v>31</v>
      </c>
      <c r="H139" t="s">
        <v>39</v>
      </c>
      <c r="I139">
        <v>999</v>
      </c>
      <c r="J139" t="s">
        <v>90</v>
      </c>
      <c r="K139">
        <v>25</v>
      </c>
      <c r="L139">
        <v>-90</v>
      </c>
      <c r="M139" t="s">
        <v>45</v>
      </c>
      <c r="N139" t="s">
        <v>51</v>
      </c>
      <c r="O139" t="s">
        <v>57</v>
      </c>
    </row>
    <row r="140" spans="1:15" x14ac:dyDescent="0.2">
      <c r="A140" t="s">
        <v>7</v>
      </c>
      <c r="B140" t="s">
        <v>13</v>
      </c>
      <c r="C140" t="s">
        <v>17</v>
      </c>
      <c r="D140">
        <v>0</v>
      </c>
      <c r="E140" t="s">
        <v>20</v>
      </c>
      <c r="F140" t="s">
        <v>26</v>
      </c>
      <c r="G140" t="s">
        <v>31</v>
      </c>
      <c r="H140" t="s">
        <v>38</v>
      </c>
      <c r="I140">
        <v>999</v>
      </c>
      <c r="J140" t="s">
        <v>90</v>
      </c>
      <c r="K140">
        <v>25</v>
      </c>
      <c r="L140">
        <v>-90</v>
      </c>
      <c r="M140" t="s">
        <v>44</v>
      </c>
      <c r="N140" t="s">
        <v>50</v>
      </c>
      <c r="O140" t="s">
        <v>56</v>
      </c>
    </row>
    <row r="141" spans="1:15" x14ac:dyDescent="0.2">
      <c r="A141" t="s">
        <v>6</v>
      </c>
      <c r="B141" t="s">
        <v>13</v>
      </c>
      <c r="C141" t="s">
        <v>16</v>
      </c>
      <c r="D141" t="s">
        <v>18</v>
      </c>
      <c r="E141" t="s">
        <v>21</v>
      </c>
      <c r="F141" t="s">
        <v>26</v>
      </c>
      <c r="G141" t="s">
        <v>30</v>
      </c>
      <c r="H141" t="s">
        <v>37</v>
      </c>
      <c r="I141">
        <v>21</v>
      </c>
      <c r="J141" t="s">
        <v>87</v>
      </c>
      <c r="K141">
        <v>47.75</v>
      </c>
      <c r="L141">
        <v>-120.7333</v>
      </c>
      <c r="M141" t="s">
        <v>43</v>
      </c>
      <c r="N141" t="s">
        <v>49</v>
      </c>
      <c r="O141" t="s">
        <v>53</v>
      </c>
    </row>
    <row r="142" spans="1:15" x14ac:dyDescent="0.2">
      <c r="A142" t="s">
        <v>6</v>
      </c>
      <c r="B142" t="s">
        <v>13</v>
      </c>
      <c r="C142" t="s">
        <v>15</v>
      </c>
      <c r="D142" t="s">
        <v>15</v>
      </c>
      <c r="E142" t="s">
        <v>19</v>
      </c>
      <c r="F142" t="s">
        <v>27</v>
      </c>
      <c r="G142" t="s">
        <v>29</v>
      </c>
      <c r="H142" t="s">
        <v>36</v>
      </c>
      <c r="I142">
        <v>99</v>
      </c>
      <c r="J142" t="s">
        <v>22</v>
      </c>
      <c r="K142">
        <v>39.833300000000001</v>
      </c>
      <c r="L142">
        <v>-98.583299999999994</v>
      </c>
      <c r="M142" t="s">
        <v>42</v>
      </c>
      <c r="N142" t="s">
        <v>48</v>
      </c>
      <c r="O142" t="s">
        <v>54</v>
      </c>
    </row>
    <row r="143" spans="1:15" x14ac:dyDescent="0.2">
      <c r="A143" t="s">
        <v>8</v>
      </c>
      <c r="B143" t="s">
        <v>11</v>
      </c>
      <c r="C143" t="s">
        <v>14</v>
      </c>
      <c r="D143" t="s">
        <v>14</v>
      </c>
      <c r="E143" t="s">
        <v>20</v>
      </c>
      <c r="F143" t="s">
        <v>27</v>
      </c>
      <c r="G143" t="s">
        <v>29</v>
      </c>
      <c r="H143" t="s">
        <v>35</v>
      </c>
      <c r="I143">
        <v>16</v>
      </c>
      <c r="J143" t="s">
        <v>82</v>
      </c>
      <c r="K143">
        <v>30.4</v>
      </c>
      <c r="L143">
        <v>-92.333299999999994</v>
      </c>
      <c r="M143" t="s">
        <v>41</v>
      </c>
      <c r="N143" t="s">
        <v>47</v>
      </c>
      <c r="O143" t="s">
        <v>55</v>
      </c>
    </row>
    <row r="144" spans="1:15" x14ac:dyDescent="0.2">
      <c r="A144" t="s">
        <v>8</v>
      </c>
      <c r="B144" t="s">
        <v>12</v>
      </c>
      <c r="C144" t="s">
        <v>17</v>
      </c>
      <c r="D144">
        <v>0</v>
      </c>
      <c r="E144" t="s">
        <v>20</v>
      </c>
      <c r="F144" t="s">
        <v>25</v>
      </c>
      <c r="G144" t="s">
        <v>31</v>
      </c>
      <c r="H144" t="s">
        <v>38</v>
      </c>
      <c r="I144">
        <v>999</v>
      </c>
      <c r="J144" t="s">
        <v>90</v>
      </c>
      <c r="K144">
        <v>25</v>
      </c>
      <c r="L144">
        <v>-90</v>
      </c>
      <c r="M144" t="s">
        <v>44</v>
      </c>
      <c r="N144" t="s">
        <v>50</v>
      </c>
      <c r="O144" t="s">
        <v>56</v>
      </c>
    </row>
    <row r="145" spans="1:15" x14ac:dyDescent="0.2">
      <c r="A145" t="s">
        <v>6</v>
      </c>
      <c r="B145" t="s">
        <v>11</v>
      </c>
      <c r="C145" t="s">
        <v>15</v>
      </c>
      <c r="D145" t="s">
        <v>15</v>
      </c>
      <c r="E145" t="s">
        <v>20</v>
      </c>
      <c r="F145" t="s">
        <v>24</v>
      </c>
      <c r="G145" t="s">
        <v>30</v>
      </c>
      <c r="H145" t="s">
        <v>36</v>
      </c>
      <c r="I145">
        <v>99</v>
      </c>
      <c r="J145" t="s">
        <v>22</v>
      </c>
      <c r="K145">
        <v>39.833300000000001</v>
      </c>
      <c r="L145">
        <v>-98.583299999999994</v>
      </c>
      <c r="M145" t="s">
        <v>42</v>
      </c>
      <c r="N145" t="s">
        <v>48</v>
      </c>
      <c r="O145" t="s">
        <v>54</v>
      </c>
    </row>
    <row r="146" spans="1:15" x14ac:dyDescent="0.2">
      <c r="A146" t="s">
        <v>6</v>
      </c>
      <c r="B146" t="s">
        <v>11</v>
      </c>
      <c r="C146" t="s">
        <v>15</v>
      </c>
      <c r="D146" t="s">
        <v>15</v>
      </c>
      <c r="E146" t="s">
        <v>19</v>
      </c>
      <c r="F146" t="s">
        <v>27</v>
      </c>
      <c r="G146" t="s">
        <v>30</v>
      </c>
      <c r="H146" t="s">
        <v>36</v>
      </c>
      <c r="I146">
        <v>99</v>
      </c>
      <c r="J146" t="s">
        <v>22</v>
      </c>
      <c r="K146">
        <v>39.833300000000001</v>
      </c>
      <c r="L146">
        <v>-98.583299999999994</v>
      </c>
      <c r="M146" t="s">
        <v>42</v>
      </c>
      <c r="N146" t="s">
        <v>48</v>
      </c>
      <c r="O146" t="s">
        <v>54</v>
      </c>
    </row>
    <row r="147" spans="1:15" x14ac:dyDescent="0.2">
      <c r="A147" t="s">
        <v>9</v>
      </c>
      <c r="B147" t="s">
        <v>12</v>
      </c>
      <c r="C147" t="s">
        <v>17</v>
      </c>
      <c r="D147">
        <v>0</v>
      </c>
      <c r="E147" t="s">
        <v>20</v>
      </c>
      <c r="F147" t="s">
        <v>27</v>
      </c>
      <c r="G147" t="s">
        <v>29</v>
      </c>
      <c r="H147" t="s">
        <v>38</v>
      </c>
      <c r="I147">
        <v>999</v>
      </c>
      <c r="J147" t="s">
        <v>90</v>
      </c>
      <c r="K147">
        <v>25</v>
      </c>
      <c r="L147">
        <v>-90</v>
      </c>
      <c r="M147" t="s">
        <v>44</v>
      </c>
      <c r="N147" t="s">
        <v>50</v>
      </c>
      <c r="O147" t="s">
        <v>56</v>
      </c>
    </row>
    <row r="148" spans="1:15" x14ac:dyDescent="0.2">
      <c r="A148" t="s">
        <v>6</v>
      </c>
      <c r="B148" t="s">
        <v>11</v>
      </c>
      <c r="C148" t="s">
        <v>15</v>
      </c>
      <c r="D148" t="s">
        <v>15</v>
      </c>
      <c r="E148" t="s">
        <v>21</v>
      </c>
      <c r="F148" t="s">
        <v>25</v>
      </c>
      <c r="G148" t="s">
        <v>32</v>
      </c>
      <c r="H148" t="s">
        <v>36</v>
      </c>
      <c r="I148">
        <v>99</v>
      </c>
      <c r="J148" t="s">
        <v>22</v>
      </c>
      <c r="K148">
        <v>39.833300000000001</v>
      </c>
      <c r="L148">
        <v>-98.583299999999994</v>
      </c>
      <c r="M148" t="s">
        <v>42</v>
      </c>
      <c r="N148" t="s">
        <v>48</v>
      </c>
      <c r="O148" t="s">
        <v>54</v>
      </c>
    </row>
    <row r="149" spans="1:15" x14ac:dyDescent="0.2">
      <c r="A149" t="s">
        <v>7</v>
      </c>
      <c r="B149" t="s">
        <v>12</v>
      </c>
      <c r="C149" t="s">
        <v>18</v>
      </c>
      <c r="D149">
        <v>0</v>
      </c>
      <c r="E149" t="s">
        <v>19</v>
      </c>
      <c r="F149" t="s">
        <v>27</v>
      </c>
      <c r="G149" t="s">
        <v>31</v>
      </c>
      <c r="H149" t="s">
        <v>39</v>
      </c>
      <c r="I149">
        <v>999</v>
      </c>
      <c r="J149" t="s">
        <v>90</v>
      </c>
      <c r="K149">
        <v>25</v>
      </c>
      <c r="L149">
        <v>-90</v>
      </c>
      <c r="M149" t="s">
        <v>45</v>
      </c>
      <c r="N149" t="s">
        <v>51</v>
      </c>
      <c r="O149" t="s">
        <v>57</v>
      </c>
    </row>
    <row r="150" spans="1:15" x14ac:dyDescent="0.2">
      <c r="A150" t="s">
        <v>7</v>
      </c>
      <c r="B150" t="s">
        <v>13</v>
      </c>
      <c r="C150" t="s">
        <v>16</v>
      </c>
      <c r="D150" t="s">
        <v>18</v>
      </c>
      <c r="E150" t="s">
        <v>21</v>
      </c>
      <c r="F150" t="s">
        <v>26</v>
      </c>
      <c r="G150" t="s">
        <v>29</v>
      </c>
      <c r="H150" t="s">
        <v>37</v>
      </c>
      <c r="I150">
        <v>13</v>
      </c>
      <c r="J150" t="s">
        <v>79</v>
      </c>
      <c r="K150">
        <v>32.716700000000003</v>
      </c>
      <c r="L150">
        <v>-83.5</v>
      </c>
      <c r="M150" t="s">
        <v>43</v>
      </c>
      <c r="N150" t="s">
        <v>49</v>
      </c>
      <c r="O150" t="s">
        <v>53</v>
      </c>
    </row>
    <row r="151" spans="1:15" x14ac:dyDescent="0.2">
      <c r="A151" t="s">
        <v>8</v>
      </c>
      <c r="B151" t="s">
        <v>12</v>
      </c>
      <c r="C151" t="s">
        <v>15</v>
      </c>
      <c r="D151" t="s">
        <v>15</v>
      </c>
      <c r="E151" t="s">
        <v>19</v>
      </c>
      <c r="F151" t="s">
        <v>25</v>
      </c>
      <c r="G151" t="s">
        <v>32</v>
      </c>
      <c r="H151" t="s">
        <v>36</v>
      </c>
      <c r="I151">
        <v>99</v>
      </c>
      <c r="J151" t="s">
        <v>22</v>
      </c>
      <c r="K151">
        <v>39.833300000000001</v>
      </c>
      <c r="L151">
        <v>-98.583299999999994</v>
      </c>
      <c r="M151" t="s">
        <v>42</v>
      </c>
      <c r="N151" t="s">
        <v>48</v>
      </c>
      <c r="O151" t="s">
        <v>54</v>
      </c>
    </row>
    <row r="152" spans="1:15" x14ac:dyDescent="0.2">
      <c r="A152" t="s">
        <v>8</v>
      </c>
      <c r="B152" t="s">
        <v>11</v>
      </c>
      <c r="C152" t="s">
        <v>15</v>
      </c>
      <c r="D152" t="s">
        <v>15</v>
      </c>
      <c r="E152" t="s">
        <v>20</v>
      </c>
      <c r="F152" t="s">
        <v>25</v>
      </c>
      <c r="G152" t="s">
        <v>29</v>
      </c>
      <c r="H152" t="s">
        <v>36</v>
      </c>
      <c r="I152">
        <v>99</v>
      </c>
      <c r="J152" t="s">
        <v>22</v>
      </c>
      <c r="K152">
        <v>39.833300000000001</v>
      </c>
      <c r="L152">
        <v>-98.583299999999994</v>
      </c>
      <c r="M152" t="s">
        <v>42</v>
      </c>
      <c r="N152" t="s">
        <v>48</v>
      </c>
      <c r="O152" t="s">
        <v>54</v>
      </c>
    </row>
    <row r="153" spans="1:15" x14ac:dyDescent="0.2">
      <c r="A153" t="s">
        <v>5</v>
      </c>
      <c r="B153" t="s">
        <v>11</v>
      </c>
      <c r="C153" t="s">
        <v>14</v>
      </c>
      <c r="D153" t="s">
        <v>14</v>
      </c>
      <c r="E153" t="s">
        <v>20</v>
      </c>
      <c r="F153" t="s">
        <v>27</v>
      </c>
      <c r="G153" t="s">
        <v>31</v>
      </c>
      <c r="H153" t="s">
        <v>35</v>
      </c>
      <c r="I153">
        <v>17</v>
      </c>
      <c r="J153" t="s">
        <v>83</v>
      </c>
      <c r="K153">
        <v>32.7333</v>
      </c>
      <c r="L153">
        <v>-89.666700000000006</v>
      </c>
      <c r="M153" t="s">
        <v>41</v>
      </c>
      <c r="N153" t="s">
        <v>47</v>
      </c>
      <c r="O153" t="s">
        <v>55</v>
      </c>
    </row>
    <row r="154" spans="1:15" x14ac:dyDescent="0.2">
      <c r="A154" t="s">
        <v>7</v>
      </c>
      <c r="B154" t="s">
        <v>13</v>
      </c>
      <c r="C154" t="s">
        <v>15</v>
      </c>
      <c r="D154" t="s">
        <v>15</v>
      </c>
      <c r="E154" t="s">
        <v>20</v>
      </c>
      <c r="F154" t="s">
        <v>27</v>
      </c>
      <c r="G154" t="s">
        <v>29</v>
      </c>
      <c r="H154" t="s">
        <v>36</v>
      </c>
      <c r="I154">
        <v>99</v>
      </c>
      <c r="J154" t="s">
        <v>22</v>
      </c>
      <c r="K154">
        <v>39.833300000000001</v>
      </c>
      <c r="L154">
        <v>-98.583299999999994</v>
      </c>
      <c r="M154" t="s">
        <v>42</v>
      </c>
      <c r="N154" t="s">
        <v>48</v>
      </c>
      <c r="O154" t="s">
        <v>54</v>
      </c>
    </row>
    <row r="155" spans="1:15" x14ac:dyDescent="0.2">
      <c r="A155" t="s">
        <v>5</v>
      </c>
      <c r="B155" t="s">
        <v>12</v>
      </c>
      <c r="C155" t="s">
        <v>17</v>
      </c>
      <c r="D155">
        <v>0</v>
      </c>
      <c r="E155" t="s">
        <v>21</v>
      </c>
      <c r="F155" t="s">
        <v>25</v>
      </c>
      <c r="G155" t="s">
        <v>29</v>
      </c>
      <c r="H155" t="s">
        <v>38</v>
      </c>
      <c r="I155">
        <v>999</v>
      </c>
      <c r="J155" t="s">
        <v>90</v>
      </c>
      <c r="K155">
        <v>25</v>
      </c>
      <c r="L155">
        <v>-90</v>
      </c>
      <c r="M155" t="s">
        <v>44</v>
      </c>
      <c r="N155" t="s">
        <v>50</v>
      </c>
      <c r="O155" t="s">
        <v>56</v>
      </c>
    </row>
    <row r="156" spans="1:15" x14ac:dyDescent="0.2">
      <c r="A156" t="s">
        <v>6</v>
      </c>
      <c r="B156" t="s">
        <v>13</v>
      </c>
      <c r="C156" t="s">
        <v>15</v>
      </c>
      <c r="D156" t="s">
        <v>15</v>
      </c>
      <c r="E156" t="s">
        <v>19</v>
      </c>
      <c r="F156" t="s">
        <v>24</v>
      </c>
      <c r="G156" t="s">
        <v>29</v>
      </c>
      <c r="H156" t="s">
        <v>36</v>
      </c>
      <c r="I156">
        <v>99</v>
      </c>
      <c r="J156" t="s">
        <v>22</v>
      </c>
      <c r="K156">
        <v>39.833300000000001</v>
      </c>
      <c r="L156">
        <v>-98.583299999999994</v>
      </c>
      <c r="M156" t="s">
        <v>42</v>
      </c>
      <c r="N156" t="s">
        <v>48</v>
      </c>
      <c r="O156" t="s">
        <v>54</v>
      </c>
    </row>
    <row r="157" spans="1:15" x14ac:dyDescent="0.2">
      <c r="A157" t="s">
        <v>7</v>
      </c>
      <c r="B157" t="s">
        <v>13</v>
      </c>
      <c r="C157" t="s">
        <v>16</v>
      </c>
      <c r="D157" t="s">
        <v>18</v>
      </c>
      <c r="E157" t="s">
        <v>21</v>
      </c>
      <c r="F157" t="s">
        <v>24</v>
      </c>
      <c r="G157" t="s">
        <v>31</v>
      </c>
      <c r="H157" t="s">
        <v>37</v>
      </c>
      <c r="I157">
        <v>20</v>
      </c>
      <c r="J157" t="s">
        <v>86</v>
      </c>
      <c r="K157">
        <v>43.933300000000003</v>
      </c>
      <c r="L157">
        <v>-120.5667</v>
      </c>
      <c r="M157" t="s">
        <v>43</v>
      </c>
      <c r="N157" t="s">
        <v>49</v>
      </c>
      <c r="O157" t="s">
        <v>53</v>
      </c>
    </row>
    <row r="158" spans="1:15" x14ac:dyDescent="0.2">
      <c r="A158" t="s">
        <v>7</v>
      </c>
      <c r="B158" t="s">
        <v>13</v>
      </c>
      <c r="C158" t="s">
        <v>15</v>
      </c>
      <c r="D158" t="s">
        <v>15</v>
      </c>
      <c r="E158" t="s">
        <v>20</v>
      </c>
      <c r="F158" t="s">
        <v>26</v>
      </c>
      <c r="G158" t="s">
        <v>30</v>
      </c>
      <c r="H158" t="s">
        <v>36</v>
      </c>
      <c r="I158">
        <v>99</v>
      </c>
      <c r="J158" t="s">
        <v>22</v>
      </c>
      <c r="K158">
        <v>39.833300000000001</v>
      </c>
      <c r="L158">
        <v>-98.583299999999994</v>
      </c>
      <c r="M158" t="s">
        <v>42</v>
      </c>
      <c r="N158" t="s">
        <v>48</v>
      </c>
      <c r="O158" t="s">
        <v>54</v>
      </c>
    </row>
    <row r="159" spans="1:15" x14ac:dyDescent="0.2">
      <c r="A159" t="s">
        <v>6</v>
      </c>
      <c r="B159" t="s">
        <v>13</v>
      </c>
      <c r="C159" t="s">
        <v>18</v>
      </c>
      <c r="D159">
        <v>0</v>
      </c>
      <c r="E159" t="s">
        <v>19</v>
      </c>
      <c r="F159" t="s">
        <v>24</v>
      </c>
      <c r="G159" t="s">
        <v>29</v>
      </c>
      <c r="H159" t="s">
        <v>39</v>
      </c>
      <c r="I159">
        <v>999</v>
      </c>
      <c r="J159" t="s">
        <v>90</v>
      </c>
      <c r="K159">
        <v>25</v>
      </c>
      <c r="L159">
        <v>-90</v>
      </c>
      <c r="M159" t="s">
        <v>45</v>
      </c>
      <c r="N159" t="s">
        <v>51</v>
      </c>
      <c r="O159" t="s">
        <v>57</v>
      </c>
    </row>
    <row r="160" spans="1:15" x14ac:dyDescent="0.2">
      <c r="A160" t="s">
        <v>6</v>
      </c>
      <c r="B160" t="s">
        <v>13</v>
      </c>
      <c r="C160" t="s">
        <v>17</v>
      </c>
      <c r="D160">
        <v>0</v>
      </c>
      <c r="E160" t="s">
        <v>20</v>
      </c>
      <c r="F160" t="s">
        <v>27</v>
      </c>
      <c r="G160" t="s">
        <v>29</v>
      </c>
      <c r="H160" t="s">
        <v>38</v>
      </c>
      <c r="I160">
        <v>999</v>
      </c>
      <c r="J160" t="s">
        <v>90</v>
      </c>
      <c r="K160">
        <v>25</v>
      </c>
      <c r="L160">
        <v>-90</v>
      </c>
      <c r="M160" t="s">
        <v>44</v>
      </c>
      <c r="N160" t="s">
        <v>50</v>
      </c>
      <c r="O160" t="s">
        <v>56</v>
      </c>
    </row>
    <row r="161" spans="1:15" x14ac:dyDescent="0.2">
      <c r="A161" t="s">
        <v>10</v>
      </c>
      <c r="B161" t="s">
        <v>11</v>
      </c>
      <c r="C161" t="s">
        <v>17</v>
      </c>
      <c r="D161">
        <v>0</v>
      </c>
      <c r="E161" t="s">
        <v>21</v>
      </c>
      <c r="F161" t="s">
        <v>26</v>
      </c>
      <c r="G161" t="s">
        <v>31</v>
      </c>
      <c r="H161" t="s">
        <v>38</v>
      </c>
      <c r="I161">
        <v>999</v>
      </c>
      <c r="J161" t="s">
        <v>90</v>
      </c>
      <c r="K161">
        <v>25</v>
      </c>
      <c r="L161">
        <v>-90</v>
      </c>
      <c r="M161" t="s">
        <v>44</v>
      </c>
      <c r="N161" t="s">
        <v>50</v>
      </c>
      <c r="O161" t="s">
        <v>56</v>
      </c>
    </row>
    <row r="162" spans="1:15" x14ac:dyDescent="0.2">
      <c r="A162" t="s">
        <v>9</v>
      </c>
      <c r="B162" t="s">
        <v>12</v>
      </c>
      <c r="C162" t="s">
        <v>17</v>
      </c>
      <c r="D162">
        <v>0</v>
      </c>
      <c r="E162" t="s">
        <v>21</v>
      </c>
      <c r="F162" t="s">
        <v>26</v>
      </c>
      <c r="G162" t="s">
        <v>31</v>
      </c>
      <c r="H162" t="s">
        <v>38</v>
      </c>
      <c r="I162">
        <v>999</v>
      </c>
      <c r="J162" t="s">
        <v>90</v>
      </c>
      <c r="K162">
        <v>25</v>
      </c>
      <c r="L162">
        <v>-90</v>
      </c>
      <c r="M162" t="s">
        <v>44</v>
      </c>
      <c r="N162" t="s">
        <v>50</v>
      </c>
      <c r="O162" t="s">
        <v>56</v>
      </c>
    </row>
    <row r="163" spans="1:15" x14ac:dyDescent="0.2">
      <c r="A163" t="s">
        <v>6</v>
      </c>
      <c r="B163" t="s">
        <v>13</v>
      </c>
      <c r="C163" t="s">
        <v>18</v>
      </c>
      <c r="D163">
        <v>0</v>
      </c>
      <c r="E163" t="s">
        <v>19</v>
      </c>
      <c r="F163" t="s">
        <v>26</v>
      </c>
      <c r="G163" t="s">
        <v>31</v>
      </c>
      <c r="H163" t="s">
        <v>39</v>
      </c>
      <c r="I163">
        <v>999</v>
      </c>
      <c r="J163" t="s">
        <v>90</v>
      </c>
      <c r="K163">
        <v>25</v>
      </c>
      <c r="L163">
        <v>-90</v>
      </c>
      <c r="M163" t="s">
        <v>45</v>
      </c>
      <c r="N163" t="s">
        <v>51</v>
      </c>
      <c r="O163" t="s">
        <v>57</v>
      </c>
    </row>
    <row r="164" spans="1:15" x14ac:dyDescent="0.2">
      <c r="A164" t="s">
        <v>7</v>
      </c>
      <c r="B164" t="s">
        <v>11</v>
      </c>
      <c r="C164" t="s">
        <v>18</v>
      </c>
      <c r="D164">
        <v>0</v>
      </c>
      <c r="E164" t="s">
        <v>20</v>
      </c>
      <c r="F164" t="s">
        <v>25</v>
      </c>
      <c r="G164" t="s">
        <v>29</v>
      </c>
      <c r="H164" t="s">
        <v>39</v>
      </c>
      <c r="I164">
        <v>999</v>
      </c>
      <c r="J164" t="s">
        <v>90</v>
      </c>
      <c r="K164">
        <v>25</v>
      </c>
      <c r="L164">
        <v>-90</v>
      </c>
      <c r="M164" t="s">
        <v>45</v>
      </c>
      <c r="N164" t="s">
        <v>51</v>
      </c>
      <c r="O164" t="s">
        <v>57</v>
      </c>
    </row>
    <row r="165" spans="1:15" x14ac:dyDescent="0.2">
      <c r="A165" t="s">
        <v>9</v>
      </c>
      <c r="B165" t="s">
        <v>13</v>
      </c>
      <c r="C165" t="s">
        <v>14</v>
      </c>
      <c r="D165" t="s">
        <v>14</v>
      </c>
      <c r="E165" t="s">
        <v>19</v>
      </c>
      <c r="F165" t="s">
        <v>26</v>
      </c>
      <c r="G165" t="s">
        <v>29</v>
      </c>
      <c r="H165" t="s">
        <v>35</v>
      </c>
      <c r="I165">
        <v>15</v>
      </c>
      <c r="J165" t="s">
        <v>81</v>
      </c>
      <c r="K165">
        <v>31.466699999999999</v>
      </c>
      <c r="L165">
        <v>-99.333299999999994</v>
      </c>
      <c r="M165" t="s">
        <v>41</v>
      </c>
      <c r="N165" t="s">
        <v>47</v>
      </c>
      <c r="O165" t="s">
        <v>55</v>
      </c>
    </row>
    <row r="166" spans="1:15" x14ac:dyDescent="0.2">
      <c r="A166" t="s">
        <v>8</v>
      </c>
      <c r="B166" t="s">
        <v>11</v>
      </c>
      <c r="C166" t="s">
        <v>17</v>
      </c>
      <c r="D166">
        <v>0</v>
      </c>
      <c r="E166" t="s">
        <v>19</v>
      </c>
      <c r="F166" t="s">
        <v>24</v>
      </c>
      <c r="G166" t="s">
        <v>29</v>
      </c>
      <c r="H166" t="s">
        <v>38</v>
      </c>
      <c r="I166">
        <v>999</v>
      </c>
      <c r="J166" t="s">
        <v>90</v>
      </c>
      <c r="K166">
        <v>25</v>
      </c>
      <c r="L166">
        <v>-90</v>
      </c>
      <c r="M166" t="s">
        <v>44</v>
      </c>
      <c r="N166" t="s">
        <v>50</v>
      </c>
      <c r="O166" t="s">
        <v>56</v>
      </c>
    </row>
    <row r="167" spans="1:15" x14ac:dyDescent="0.2">
      <c r="A167" t="s">
        <v>5</v>
      </c>
      <c r="B167" t="s">
        <v>13</v>
      </c>
      <c r="C167" t="s">
        <v>17</v>
      </c>
      <c r="D167">
        <v>0</v>
      </c>
      <c r="E167" t="s">
        <v>19</v>
      </c>
      <c r="F167" t="s">
        <v>27</v>
      </c>
      <c r="G167" t="s">
        <v>29</v>
      </c>
      <c r="H167" t="s">
        <v>38</v>
      </c>
      <c r="I167">
        <v>999</v>
      </c>
      <c r="J167" t="s">
        <v>90</v>
      </c>
      <c r="K167">
        <v>25</v>
      </c>
      <c r="L167">
        <v>-90</v>
      </c>
      <c r="M167" t="s">
        <v>44</v>
      </c>
      <c r="N167" t="s">
        <v>50</v>
      </c>
      <c r="O167" t="s">
        <v>56</v>
      </c>
    </row>
    <row r="168" spans="1:15" x14ac:dyDescent="0.2">
      <c r="A168" t="s">
        <v>10</v>
      </c>
      <c r="B168" t="s">
        <v>13</v>
      </c>
      <c r="C168" t="s">
        <v>18</v>
      </c>
      <c r="D168">
        <v>0</v>
      </c>
      <c r="E168" t="s">
        <v>20</v>
      </c>
      <c r="F168" t="s">
        <v>26</v>
      </c>
      <c r="G168" t="s">
        <v>29</v>
      </c>
      <c r="H168" t="s">
        <v>39</v>
      </c>
      <c r="I168">
        <v>999</v>
      </c>
      <c r="J168" t="s">
        <v>90</v>
      </c>
      <c r="K168">
        <v>25</v>
      </c>
      <c r="L168">
        <v>-90</v>
      </c>
      <c r="M168" t="s">
        <v>45</v>
      </c>
      <c r="N168" t="s">
        <v>51</v>
      </c>
      <c r="O168" t="s">
        <v>57</v>
      </c>
    </row>
    <row r="169" spans="1:15" x14ac:dyDescent="0.2">
      <c r="A169" t="s">
        <v>7</v>
      </c>
      <c r="B169" t="s">
        <v>12</v>
      </c>
      <c r="C169" t="s">
        <v>15</v>
      </c>
      <c r="D169" t="s">
        <v>15</v>
      </c>
      <c r="E169" t="s">
        <v>19</v>
      </c>
      <c r="F169" t="s">
        <v>25</v>
      </c>
      <c r="G169" t="s">
        <v>31</v>
      </c>
      <c r="H169" t="s">
        <v>36</v>
      </c>
      <c r="I169">
        <v>99</v>
      </c>
      <c r="J169" t="s">
        <v>22</v>
      </c>
      <c r="K169">
        <v>39.833300000000001</v>
      </c>
      <c r="L169">
        <v>-98.583299999999994</v>
      </c>
      <c r="M169" t="s">
        <v>42</v>
      </c>
      <c r="N169" t="s">
        <v>48</v>
      </c>
      <c r="O169" t="s">
        <v>54</v>
      </c>
    </row>
    <row r="170" spans="1:15" x14ac:dyDescent="0.2">
      <c r="A170" t="s">
        <v>8</v>
      </c>
      <c r="B170" t="s">
        <v>13</v>
      </c>
      <c r="C170" t="s">
        <v>15</v>
      </c>
      <c r="D170" t="s">
        <v>15</v>
      </c>
      <c r="E170" t="s">
        <v>21</v>
      </c>
      <c r="F170" t="s">
        <v>25</v>
      </c>
      <c r="G170" t="s">
        <v>30</v>
      </c>
      <c r="H170" t="s">
        <v>36</v>
      </c>
      <c r="I170">
        <v>99</v>
      </c>
      <c r="J170" t="s">
        <v>22</v>
      </c>
      <c r="K170">
        <v>39.833300000000001</v>
      </c>
      <c r="L170">
        <v>-98.583299999999994</v>
      </c>
      <c r="M170" t="s">
        <v>42</v>
      </c>
      <c r="N170" t="s">
        <v>48</v>
      </c>
      <c r="O170" t="s">
        <v>54</v>
      </c>
    </row>
    <row r="171" spans="1:15" x14ac:dyDescent="0.2">
      <c r="A171" t="s">
        <v>5</v>
      </c>
      <c r="B171" t="s">
        <v>13</v>
      </c>
      <c r="C171" t="s">
        <v>16</v>
      </c>
      <c r="D171" t="s">
        <v>18</v>
      </c>
      <c r="E171" t="s">
        <v>19</v>
      </c>
      <c r="F171" t="s">
        <v>27</v>
      </c>
      <c r="G171" t="s">
        <v>32</v>
      </c>
      <c r="H171" t="s">
        <v>37</v>
      </c>
      <c r="I171">
        <v>21</v>
      </c>
      <c r="J171" t="s">
        <v>87</v>
      </c>
      <c r="K171">
        <v>47.75</v>
      </c>
      <c r="L171">
        <v>-120.7333</v>
      </c>
      <c r="M171" t="s">
        <v>43</v>
      </c>
      <c r="N171" t="s">
        <v>49</v>
      </c>
      <c r="O171" t="s">
        <v>53</v>
      </c>
    </row>
    <row r="172" spans="1:15" x14ac:dyDescent="0.2">
      <c r="A172" t="s">
        <v>9</v>
      </c>
      <c r="B172" t="s">
        <v>11</v>
      </c>
      <c r="C172" t="s">
        <v>15</v>
      </c>
      <c r="D172" t="s">
        <v>15</v>
      </c>
      <c r="E172" t="s">
        <v>21</v>
      </c>
      <c r="F172" t="s">
        <v>24</v>
      </c>
      <c r="G172" t="s">
        <v>30</v>
      </c>
      <c r="H172" t="s">
        <v>36</v>
      </c>
      <c r="I172">
        <v>99</v>
      </c>
      <c r="J172" t="s">
        <v>22</v>
      </c>
      <c r="K172">
        <v>39.833300000000001</v>
      </c>
      <c r="L172">
        <v>-98.583299999999994</v>
      </c>
      <c r="M172" t="s">
        <v>42</v>
      </c>
      <c r="N172" t="s">
        <v>48</v>
      </c>
      <c r="O172" t="s">
        <v>54</v>
      </c>
    </row>
    <row r="173" spans="1:15" x14ac:dyDescent="0.2">
      <c r="A173" t="s">
        <v>5</v>
      </c>
      <c r="B173" t="s">
        <v>12</v>
      </c>
      <c r="C173" t="s">
        <v>16</v>
      </c>
      <c r="D173" t="s">
        <v>18</v>
      </c>
      <c r="E173" t="s">
        <v>19</v>
      </c>
      <c r="F173" t="s">
        <v>24</v>
      </c>
      <c r="G173" t="s">
        <v>29</v>
      </c>
      <c r="H173" t="s">
        <v>37</v>
      </c>
      <c r="I173">
        <v>17</v>
      </c>
      <c r="J173" t="s">
        <v>83</v>
      </c>
      <c r="K173">
        <v>32.7333</v>
      </c>
      <c r="L173">
        <v>-89.666700000000006</v>
      </c>
      <c r="M173" t="s">
        <v>43</v>
      </c>
      <c r="N173" t="s">
        <v>49</v>
      </c>
      <c r="O173" t="s">
        <v>53</v>
      </c>
    </row>
    <row r="174" spans="1:15" x14ac:dyDescent="0.2">
      <c r="A174" t="s">
        <v>7</v>
      </c>
      <c r="B174" t="s">
        <v>11</v>
      </c>
      <c r="C174" t="s">
        <v>16</v>
      </c>
      <c r="D174" t="s">
        <v>18</v>
      </c>
      <c r="E174" t="s">
        <v>21</v>
      </c>
      <c r="F174" t="s">
        <v>25</v>
      </c>
      <c r="G174" t="s">
        <v>30</v>
      </c>
      <c r="H174" t="s">
        <v>37</v>
      </c>
      <c r="I174">
        <v>20</v>
      </c>
      <c r="J174" t="s">
        <v>86</v>
      </c>
      <c r="K174">
        <v>43.933300000000003</v>
      </c>
      <c r="L174">
        <v>-120.5667</v>
      </c>
      <c r="M174" t="s">
        <v>43</v>
      </c>
      <c r="N174" t="s">
        <v>49</v>
      </c>
      <c r="O174" t="s">
        <v>53</v>
      </c>
    </row>
    <row r="175" spans="1:15" x14ac:dyDescent="0.2">
      <c r="A175" t="s">
        <v>9</v>
      </c>
      <c r="B175" t="s">
        <v>12</v>
      </c>
      <c r="C175" t="s">
        <v>17</v>
      </c>
      <c r="D175">
        <v>0</v>
      </c>
      <c r="E175" t="s">
        <v>20</v>
      </c>
      <c r="F175" t="s">
        <v>26</v>
      </c>
      <c r="G175" t="s">
        <v>30</v>
      </c>
      <c r="H175" t="s">
        <v>38</v>
      </c>
      <c r="I175">
        <v>999</v>
      </c>
      <c r="J175" t="s">
        <v>90</v>
      </c>
      <c r="K175">
        <v>25</v>
      </c>
      <c r="L175">
        <v>-90</v>
      </c>
      <c r="M175" t="s">
        <v>44</v>
      </c>
      <c r="N175" t="s">
        <v>50</v>
      </c>
      <c r="O175" t="s">
        <v>56</v>
      </c>
    </row>
    <row r="176" spans="1:15" x14ac:dyDescent="0.2">
      <c r="A176" t="s">
        <v>9</v>
      </c>
      <c r="B176" t="s">
        <v>11</v>
      </c>
      <c r="C176" t="s">
        <v>14</v>
      </c>
      <c r="D176" t="s">
        <v>14</v>
      </c>
      <c r="E176" t="s">
        <v>20</v>
      </c>
      <c r="F176" t="s">
        <v>25</v>
      </c>
      <c r="G176" t="s">
        <v>31</v>
      </c>
      <c r="H176" t="s">
        <v>35</v>
      </c>
      <c r="I176">
        <v>21</v>
      </c>
      <c r="J176" t="s">
        <v>87</v>
      </c>
      <c r="K176">
        <v>47.75</v>
      </c>
      <c r="L176">
        <v>-120.7333</v>
      </c>
      <c r="M176" t="s">
        <v>41</v>
      </c>
      <c r="N176" t="s">
        <v>47</v>
      </c>
      <c r="O176" t="s">
        <v>55</v>
      </c>
    </row>
    <row r="177" spans="1:15" x14ac:dyDescent="0.2">
      <c r="A177" t="s">
        <v>10</v>
      </c>
      <c r="B177" t="s">
        <v>12</v>
      </c>
      <c r="C177" t="s">
        <v>18</v>
      </c>
      <c r="D177">
        <v>0</v>
      </c>
      <c r="E177" t="s">
        <v>20</v>
      </c>
      <c r="F177" t="s">
        <v>24</v>
      </c>
      <c r="G177" t="s">
        <v>29</v>
      </c>
      <c r="H177" t="s">
        <v>39</v>
      </c>
      <c r="I177">
        <v>999</v>
      </c>
      <c r="J177" t="s">
        <v>90</v>
      </c>
      <c r="K177">
        <v>25</v>
      </c>
      <c r="L177">
        <v>-90</v>
      </c>
      <c r="M177" t="s">
        <v>45</v>
      </c>
      <c r="N177" t="s">
        <v>51</v>
      </c>
      <c r="O177" t="s">
        <v>57</v>
      </c>
    </row>
    <row r="178" spans="1:15" x14ac:dyDescent="0.2">
      <c r="A178" t="s">
        <v>9</v>
      </c>
      <c r="B178" t="s">
        <v>13</v>
      </c>
      <c r="C178" t="s">
        <v>16</v>
      </c>
      <c r="D178" t="s">
        <v>18</v>
      </c>
      <c r="E178" t="s">
        <v>21</v>
      </c>
      <c r="F178" t="s">
        <v>24</v>
      </c>
      <c r="G178" t="s">
        <v>32</v>
      </c>
      <c r="H178" t="s">
        <v>37</v>
      </c>
      <c r="I178">
        <v>21</v>
      </c>
      <c r="J178" t="s">
        <v>87</v>
      </c>
      <c r="K178">
        <v>47.75</v>
      </c>
      <c r="L178">
        <v>-120.7333</v>
      </c>
      <c r="M178" t="s">
        <v>43</v>
      </c>
      <c r="N178" t="s">
        <v>49</v>
      </c>
      <c r="O178" t="s">
        <v>53</v>
      </c>
    </row>
    <row r="179" spans="1:15" x14ac:dyDescent="0.2">
      <c r="A179" t="s">
        <v>7</v>
      </c>
      <c r="B179" t="s">
        <v>12</v>
      </c>
      <c r="C179" t="s">
        <v>15</v>
      </c>
      <c r="D179" t="s">
        <v>15</v>
      </c>
      <c r="E179" t="s">
        <v>20</v>
      </c>
      <c r="F179" t="s">
        <v>26</v>
      </c>
      <c r="G179" t="s">
        <v>31</v>
      </c>
      <c r="H179" t="s">
        <v>36</v>
      </c>
      <c r="I179">
        <v>99</v>
      </c>
      <c r="J179" t="s">
        <v>22</v>
      </c>
      <c r="K179">
        <v>39.833300000000001</v>
      </c>
      <c r="L179">
        <v>-98.583299999999994</v>
      </c>
      <c r="M179" t="s">
        <v>42</v>
      </c>
      <c r="N179" t="s">
        <v>48</v>
      </c>
      <c r="O179" t="s">
        <v>54</v>
      </c>
    </row>
    <row r="180" spans="1:15" x14ac:dyDescent="0.2">
      <c r="A180" t="s">
        <v>8</v>
      </c>
      <c r="B180" t="s">
        <v>13</v>
      </c>
      <c r="C180" t="s">
        <v>17</v>
      </c>
      <c r="D180">
        <v>0</v>
      </c>
      <c r="E180" t="s">
        <v>21</v>
      </c>
      <c r="F180" t="s">
        <v>24</v>
      </c>
      <c r="G180" t="s">
        <v>31</v>
      </c>
      <c r="H180" t="s">
        <v>38</v>
      </c>
      <c r="I180">
        <v>999</v>
      </c>
      <c r="J180" t="s">
        <v>90</v>
      </c>
      <c r="K180">
        <v>25</v>
      </c>
      <c r="L180">
        <v>-90</v>
      </c>
      <c r="M180" t="s">
        <v>44</v>
      </c>
      <c r="N180" t="s">
        <v>50</v>
      </c>
      <c r="O180" t="s">
        <v>56</v>
      </c>
    </row>
    <row r="181" spans="1:15" x14ac:dyDescent="0.2">
      <c r="A181" t="s">
        <v>6</v>
      </c>
      <c r="B181" t="s">
        <v>13</v>
      </c>
      <c r="C181" t="s">
        <v>15</v>
      </c>
      <c r="D181" t="s">
        <v>15</v>
      </c>
      <c r="E181" t="s">
        <v>21</v>
      </c>
      <c r="F181" t="s">
        <v>26</v>
      </c>
      <c r="G181" t="s">
        <v>30</v>
      </c>
      <c r="H181" t="s">
        <v>36</v>
      </c>
      <c r="I181">
        <v>99</v>
      </c>
      <c r="J181" t="s">
        <v>22</v>
      </c>
      <c r="K181">
        <v>39.833300000000001</v>
      </c>
      <c r="L181">
        <v>-98.583299999999994</v>
      </c>
      <c r="M181" t="s">
        <v>42</v>
      </c>
      <c r="N181" t="s">
        <v>48</v>
      </c>
      <c r="O181" t="s">
        <v>54</v>
      </c>
    </row>
    <row r="182" spans="1:15" x14ac:dyDescent="0.2">
      <c r="A182" t="s">
        <v>10</v>
      </c>
      <c r="B182" t="s">
        <v>12</v>
      </c>
      <c r="C182" t="s">
        <v>17</v>
      </c>
      <c r="D182">
        <v>0</v>
      </c>
      <c r="E182" t="s">
        <v>20</v>
      </c>
      <c r="F182" t="s">
        <v>27</v>
      </c>
      <c r="G182" t="s">
        <v>32</v>
      </c>
      <c r="H182" t="s">
        <v>38</v>
      </c>
      <c r="I182">
        <v>999</v>
      </c>
      <c r="J182" t="s">
        <v>90</v>
      </c>
      <c r="K182">
        <v>25</v>
      </c>
      <c r="L182">
        <v>-90</v>
      </c>
      <c r="M182" t="s">
        <v>44</v>
      </c>
      <c r="N182" t="s">
        <v>50</v>
      </c>
      <c r="O182" t="s">
        <v>56</v>
      </c>
    </row>
    <row r="183" spans="1:15" x14ac:dyDescent="0.2">
      <c r="A183" t="s">
        <v>10</v>
      </c>
      <c r="B183" t="s">
        <v>12</v>
      </c>
      <c r="C183" t="s">
        <v>14</v>
      </c>
      <c r="D183" t="s">
        <v>14</v>
      </c>
      <c r="E183" t="s">
        <v>21</v>
      </c>
      <c r="F183" t="s">
        <v>26</v>
      </c>
      <c r="G183" t="s">
        <v>29</v>
      </c>
      <c r="H183" t="s">
        <v>35</v>
      </c>
      <c r="I183">
        <v>8</v>
      </c>
      <c r="J183" t="s">
        <v>74</v>
      </c>
      <c r="K183">
        <v>38.9833</v>
      </c>
      <c r="L183">
        <v>-75.5167</v>
      </c>
      <c r="M183" t="s">
        <v>41</v>
      </c>
      <c r="N183" t="s">
        <v>47</v>
      </c>
      <c r="O183" t="s">
        <v>55</v>
      </c>
    </row>
    <row r="184" spans="1:15" x14ac:dyDescent="0.2">
      <c r="A184" t="s">
        <v>6</v>
      </c>
      <c r="B184" t="s">
        <v>11</v>
      </c>
      <c r="C184" t="s">
        <v>18</v>
      </c>
      <c r="D184">
        <v>0</v>
      </c>
      <c r="E184" t="s">
        <v>19</v>
      </c>
      <c r="F184" t="s">
        <v>27</v>
      </c>
      <c r="G184" t="s">
        <v>32</v>
      </c>
      <c r="H184" t="s">
        <v>39</v>
      </c>
      <c r="I184">
        <v>999</v>
      </c>
      <c r="J184" t="s">
        <v>90</v>
      </c>
      <c r="K184">
        <v>25</v>
      </c>
      <c r="L184">
        <v>-90</v>
      </c>
      <c r="M184" t="s">
        <v>45</v>
      </c>
      <c r="N184" t="s">
        <v>51</v>
      </c>
      <c r="O184" t="s">
        <v>57</v>
      </c>
    </row>
    <row r="185" spans="1:15" x14ac:dyDescent="0.2">
      <c r="A185" t="s">
        <v>9</v>
      </c>
      <c r="B185" t="s">
        <v>12</v>
      </c>
      <c r="C185" t="s">
        <v>16</v>
      </c>
      <c r="D185" t="s">
        <v>18</v>
      </c>
      <c r="E185" t="s">
        <v>19</v>
      </c>
      <c r="F185" t="s">
        <v>25</v>
      </c>
      <c r="G185" t="s">
        <v>32</v>
      </c>
      <c r="H185" t="s">
        <v>37</v>
      </c>
      <c r="I185">
        <v>13</v>
      </c>
      <c r="J185" t="s">
        <v>79</v>
      </c>
      <c r="K185">
        <v>32.716700000000003</v>
      </c>
      <c r="L185">
        <v>-83.5</v>
      </c>
      <c r="M185" t="s">
        <v>43</v>
      </c>
      <c r="N185" t="s">
        <v>49</v>
      </c>
      <c r="O185" t="s">
        <v>53</v>
      </c>
    </row>
    <row r="186" spans="1:15" x14ac:dyDescent="0.2">
      <c r="A186" t="s">
        <v>7</v>
      </c>
      <c r="B186" t="s">
        <v>11</v>
      </c>
      <c r="C186" t="s">
        <v>18</v>
      </c>
      <c r="D186">
        <v>0</v>
      </c>
      <c r="E186" t="s">
        <v>19</v>
      </c>
      <c r="F186" t="s">
        <v>25</v>
      </c>
      <c r="G186" t="s">
        <v>32</v>
      </c>
      <c r="H186" t="s">
        <v>39</v>
      </c>
      <c r="I186">
        <v>999</v>
      </c>
      <c r="J186" t="s">
        <v>90</v>
      </c>
      <c r="K186">
        <v>25</v>
      </c>
      <c r="L186">
        <v>-90</v>
      </c>
      <c r="M186" t="s">
        <v>45</v>
      </c>
      <c r="N186" t="s">
        <v>51</v>
      </c>
      <c r="O186" t="s">
        <v>57</v>
      </c>
    </row>
    <row r="187" spans="1:15" x14ac:dyDescent="0.2">
      <c r="A187" t="s">
        <v>5</v>
      </c>
      <c r="B187" t="s">
        <v>12</v>
      </c>
      <c r="C187" t="s">
        <v>14</v>
      </c>
      <c r="D187" t="s">
        <v>14</v>
      </c>
      <c r="E187" t="s">
        <v>21</v>
      </c>
      <c r="F187" t="s">
        <v>26</v>
      </c>
      <c r="G187" t="s">
        <v>31</v>
      </c>
      <c r="H187" t="s">
        <v>35</v>
      </c>
      <c r="I187">
        <v>18</v>
      </c>
      <c r="J187" t="s">
        <v>84</v>
      </c>
      <c r="K187">
        <v>32.833300000000001</v>
      </c>
      <c r="L187">
        <v>-86.633300000000006</v>
      </c>
      <c r="M187" t="s">
        <v>41</v>
      </c>
      <c r="N187" t="s">
        <v>47</v>
      </c>
      <c r="O187" t="s">
        <v>55</v>
      </c>
    </row>
    <row r="188" spans="1:15" x14ac:dyDescent="0.2">
      <c r="A188" t="s">
        <v>5</v>
      </c>
      <c r="B188" t="s">
        <v>11</v>
      </c>
      <c r="C188" t="s">
        <v>17</v>
      </c>
      <c r="D188">
        <v>0</v>
      </c>
      <c r="E188" t="s">
        <v>20</v>
      </c>
      <c r="F188" t="s">
        <v>27</v>
      </c>
      <c r="G188" t="s">
        <v>30</v>
      </c>
      <c r="H188" t="s">
        <v>38</v>
      </c>
      <c r="I188">
        <v>999</v>
      </c>
      <c r="J188" t="s">
        <v>90</v>
      </c>
      <c r="K188">
        <v>25</v>
      </c>
      <c r="L188">
        <v>-90</v>
      </c>
      <c r="M188" t="s">
        <v>44</v>
      </c>
      <c r="N188" t="s">
        <v>50</v>
      </c>
      <c r="O188" t="s">
        <v>56</v>
      </c>
    </row>
    <row r="189" spans="1:15" x14ac:dyDescent="0.2">
      <c r="A189" t="s">
        <v>6</v>
      </c>
      <c r="B189" t="s">
        <v>11</v>
      </c>
      <c r="C189" t="s">
        <v>16</v>
      </c>
      <c r="D189" t="s">
        <v>18</v>
      </c>
      <c r="E189" t="s">
        <v>20</v>
      </c>
      <c r="F189" t="s">
        <v>24</v>
      </c>
      <c r="G189" t="s">
        <v>29</v>
      </c>
      <c r="H189" t="s">
        <v>37</v>
      </c>
      <c r="I189">
        <v>13</v>
      </c>
      <c r="J189" t="s">
        <v>79</v>
      </c>
      <c r="K189">
        <v>32.716700000000003</v>
      </c>
      <c r="L189">
        <v>-83.5</v>
      </c>
      <c r="M189" t="s">
        <v>43</v>
      </c>
      <c r="N189" t="s">
        <v>49</v>
      </c>
      <c r="O189" t="s">
        <v>53</v>
      </c>
    </row>
    <row r="190" spans="1:15" x14ac:dyDescent="0.2">
      <c r="A190" t="s">
        <v>8</v>
      </c>
      <c r="B190" t="s">
        <v>13</v>
      </c>
      <c r="C190" t="s">
        <v>15</v>
      </c>
      <c r="D190" t="s">
        <v>15</v>
      </c>
      <c r="E190" t="s">
        <v>20</v>
      </c>
      <c r="F190" t="s">
        <v>24</v>
      </c>
      <c r="G190" t="s">
        <v>31</v>
      </c>
      <c r="H190" t="s">
        <v>36</v>
      </c>
      <c r="I190">
        <v>99</v>
      </c>
      <c r="J190" t="s">
        <v>22</v>
      </c>
      <c r="K190">
        <v>39.833300000000001</v>
      </c>
      <c r="L190">
        <v>-98.583299999999994</v>
      </c>
      <c r="M190" t="s">
        <v>42</v>
      </c>
      <c r="N190" t="s">
        <v>48</v>
      </c>
      <c r="O190" t="s">
        <v>54</v>
      </c>
    </row>
    <row r="191" spans="1:15" x14ac:dyDescent="0.2">
      <c r="A191" t="s">
        <v>10</v>
      </c>
      <c r="B191" t="s">
        <v>12</v>
      </c>
      <c r="C191" t="s">
        <v>15</v>
      </c>
      <c r="D191" t="s">
        <v>15</v>
      </c>
      <c r="E191" t="s">
        <v>19</v>
      </c>
      <c r="F191" t="s">
        <v>27</v>
      </c>
      <c r="G191" t="s">
        <v>31</v>
      </c>
      <c r="H191" t="s">
        <v>36</v>
      </c>
      <c r="I191">
        <v>99</v>
      </c>
      <c r="J191" t="s">
        <v>22</v>
      </c>
      <c r="K191">
        <v>39.833300000000001</v>
      </c>
      <c r="L191">
        <v>-98.583299999999994</v>
      </c>
      <c r="M191" t="s">
        <v>42</v>
      </c>
      <c r="N191" t="s">
        <v>48</v>
      </c>
      <c r="O191" t="s">
        <v>54</v>
      </c>
    </row>
    <row r="192" spans="1:15" x14ac:dyDescent="0.2">
      <c r="A192" t="s">
        <v>6</v>
      </c>
      <c r="B192" t="s">
        <v>12</v>
      </c>
      <c r="C192" t="s">
        <v>14</v>
      </c>
      <c r="D192" t="s">
        <v>14</v>
      </c>
      <c r="E192" t="s">
        <v>19</v>
      </c>
      <c r="F192" t="s">
        <v>24</v>
      </c>
      <c r="G192" t="s">
        <v>32</v>
      </c>
      <c r="H192" t="s">
        <v>35</v>
      </c>
      <c r="I192">
        <v>23</v>
      </c>
      <c r="J192" t="s">
        <v>89</v>
      </c>
      <c r="K192">
        <v>20.95</v>
      </c>
      <c r="L192">
        <v>-157.2833</v>
      </c>
      <c r="M192" t="s">
        <v>41</v>
      </c>
      <c r="N192" t="s">
        <v>47</v>
      </c>
      <c r="O192" t="s">
        <v>55</v>
      </c>
    </row>
    <row r="193" spans="1:15" x14ac:dyDescent="0.2">
      <c r="A193" t="s">
        <v>6</v>
      </c>
      <c r="B193" t="s">
        <v>12</v>
      </c>
      <c r="C193" t="s">
        <v>16</v>
      </c>
      <c r="D193" t="s">
        <v>18</v>
      </c>
      <c r="E193" t="s">
        <v>19</v>
      </c>
      <c r="F193" t="s">
        <v>25</v>
      </c>
      <c r="G193" t="s">
        <v>29</v>
      </c>
      <c r="H193" t="s">
        <v>37</v>
      </c>
      <c r="I193">
        <v>3</v>
      </c>
      <c r="J193" t="s">
        <v>69</v>
      </c>
      <c r="K193">
        <v>42.4</v>
      </c>
      <c r="L193">
        <v>-71.383300000000006</v>
      </c>
      <c r="M193" t="s">
        <v>43</v>
      </c>
      <c r="N193" t="s">
        <v>49</v>
      </c>
      <c r="O193" t="s">
        <v>53</v>
      </c>
    </row>
    <row r="194" spans="1:15" x14ac:dyDescent="0.2">
      <c r="A194" t="s">
        <v>5</v>
      </c>
      <c r="B194" t="s">
        <v>12</v>
      </c>
      <c r="C194" t="s">
        <v>18</v>
      </c>
      <c r="D194">
        <v>0</v>
      </c>
      <c r="E194" t="s">
        <v>20</v>
      </c>
      <c r="F194" t="s">
        <v>26</v>
      </c>
      <c r="G194" t="s">
        <v>32</v>
      </c>
      <c r="H194" t="s">
        <v>39</v>
      </c>
      <c r="I194">
        <v>999</v>
      </c>
      <c r="J194" t="s">
        <v>90</v>
      </c>
      <c r="K194">
        <v>25</v>
      </c>
      <c r="L194">
        <v>-90</v>
      </c>
      <c r="M194" t="s">
        <v>45</v>
      </c>
      <c r="N194" t="s">
        <v>51</v>
      </c>
      <c r="O194" t="s">
        <v>57</v>
      </c>
    </row>
    <row r="195" spans="1:15" x14ac:dyDescent="0.2">
      <c r="A195" t="s">
        <v>10</v>
      </c>
      <c r="B195" t="s">
        <v>11</v>
      </c>
      <c r="C195" t="s">
        <v>15</v>
      </c>
      <c r="D195" t="s">
        <v>15</v>
      </c>
      <c r="E195" t="s">
        <v>21</v>
      </c>
      <c r="F195" t="s">
        <v>26</v>
      </c>
      <c r="G195" t="s">
        <v>29</v>
      </c>
      <c r="H195" t="s">
        <v>36</v>
      </c>
      <c r="I195">
        <v>99</v>
      </c>
      <c r="J195" t="s">
        <v>22</v>
      </c>
      <c r="K195">
        <v>39.833300000000001</v>
      </c>
      <c r="L195">
        <v>-98.583299999999994</v>
      </c>
      <c r="M195" t="s">
        <v>42</v>
      </c>
      <c r="N195" t="s">
        <v>48</v>
      </c>
      <c r="O195" t="s">
        <v>54</v>
      </c>
    </row>
    <row r="196" spans="1:15" x14ac:dyDescent="0.2">
      <c r="A196" t="s">
        <v>10</v>
      </c>
      <c r="B196" t="s">
        <v>12</v>
      </c>
      <c r="C196" t="s">
        <v>14</v>
      </c>
      <c r="D196" t="s">
        <v>14</v>
      </c>
      <c r="E196" t="s">
        <v>20</v>
      </c>
      <c r="F196" t="s">
        <v>27</v>
      </c>
      <c r="G196" t="s">
        <v>31</v>
      </c>
      <c r="H196" t="s">
        <v>35</v>
      </c>
      <c r="I196">
        <v>9</v>
      </c>
      <c r="J196" t="s">
        <v>75</v>
      </c>
      <c r="K196">
        <v>39.049999999999997</v>
      </c>
      <c r="L196">
        <v>-76.633300000000006</v>
      </c>
      <c r="M196" t="s">
        <v>41</v>
      </c>
      <c r="N196" t="s">
        <v>47</v>
      </c>
      <c r="O196" t="s">
        <v>55</v>
      </c>
    </row>
    <row r="197" spans="1:15" x14ac:dyDescent="0.2">
      <c r="A197" t="s">
        <v>5</v>
      </c>
      <c r="B197" t="s">
        <v>11</v>
      </c>
      <c r="C197" t="s">
        <v>15</v>
      </c>
      <c r="D197" t="s">
        <v>15</v>
      </c>
      <c r="E197" t="s">
        <v>20</v>
      </c>
      <c r="F197" t="s">
        <v>24</v>
      </c>
      <c r="G197" t="s">
        <v>29</v>
      </c>
      <c r="H197" t="s">
        <v>36</v>
      </c>
      <c r="I197">
        <v>99</v>
      </c>
      <c r="J197" t="s">
        <v>22</v>
      </c>
      <c r="K197">
        <v>39.833300000000001</v>
      </c>
      <c r="L197">
        <v>-98.583299999999994</v>
      </c>
      <c r="M197" t="s">
        <v>42</v>
      </c>
      <c r="N197" t="s">
        <v>48</v>
      </c>
      <c r="O197" t="s">
        <v>54</v>
      </c>
    </row>
    <row r="198" spans="1:15" x14ac:dyDescent="0.2">
      <c r="A198" t="s">
        <v>6</v>
      </c>
      <c r="B198" t="s">
        <v>12</v>
      </c>
      <c r="C198" t="s">
        <v>16</v>
      </c>
      <c r="D198" t="s">
        <v>18</v>
      </c>
      <c r="E198" t="s">
        <v>21</v>
      </c>
      <c r="F198" t="s">
        <v>26</v>
      </c>
      <c r="G198" t="s">
        <v>29</v>
      </c>
      <c r="H198" t="s">
        <v>37</v>
      </c>
      <c r="I198">
        <v>23</v>
      </c>
      <c r="J198" t="s">
        <v>89</v>
      </c>
      <c r="K198">
        <v>20.95</v>
      </c>
      <c r="L198">
        <v>-157.2833</v>
      </c>
      <c r="M198" t="s">
        <v>43</v>
      </c>
      <c r="N198" t="s">
        <v>49</v>
      </c>
      <c r="O198" t="s">
        <v>53</v>
      </c>
    </row>
    <row r="199" spans="1:15" x14ac:dyDescent="0.2">
      <c r="A199" t="s">
        <v>7</v>
      </c>
      <c r="B199" t="s">
        <v>13</v>
      </c>
      <c r="C199" t="s">
        <v>18</v>
      </c>
      <c r="D199">
        <v>0</v>
      </c>
      <c r="E199" t="s">
        <v>20</v>
      </c>
      <c r="F199" t="s">
        <v>27</v>
      </c>
      <c r="G199" t="s">
        <v>29</v>
      </c>
      <c r="H199" t="s">
        <v>39</v>
      </c>
      <c r="I199">
        <v>999</v>
      </c>
      <c r="J199" t="s">
        <v>90</v>
      </c>
      <c r="K199">
        <v>25</v>
      </c>
      <c r="L199">
        <v>-90</v>
      </c>
      <c r="M199" t="s">
        <v>45</v>
      </c>
      <c r="N199" t="s">
        <v>51</v>
      </c>
      <c r="O199" t="s">
        <v>57</v>
      </c>
    </row>
    <row r="200" spans="1:15" x14ac:dyDescent="0.2">
      <c r="A200" t="s">
        <v>8</v>
      </c>
      <c r="B200" t="s">
        <v>13</v>
      </c>
      <c r="C200" t="s">
        <v>18</v>
      </c>
      <c r="D200">
        <v>0</v>
      </c>
      <c r="E200" t="s">
        <v>20</v>
      </c>
      <c r="F200" t="s">
        <v>26</v>
      </c>
      <c r="G200" t="s">
        <v>29</v>
      </c>
      <c r="H200" t="s">
        <v>39</v>
      </c>
      <c r="I200">
        <v>999</v>
      </c>
      <c r="J200" t="s">
        <v>90</v>
      </c>
      <c r="K200">
        <v>25</v>
      </c>
      <c r="L200">
        <v>-90</v>
      </c>
      <c r="M200" t="s">
        <v>45</v>
      </c>
      <c r="N200" t="s">
        <v>51</v>
      </c>
      <c r="O200" t="s">
        <v>57</v>
      </c>
    </row>
    <row r="201" spans="1:15" x14ac:dyDescent="0.2">
      <c r="A201" t="s">
        <v>8</v>
      </c>
      <c r="B201" t="s">
        <v>11</v>
      </c>
      <c r="C201" t="s">
        <v>16</v>
      </c>
      <c r="D201" t="s">
        <v>18</v>
      </c>
      <c r="E201" t="s">
        <v>19</v>
      </c>
      <c r="F201" t="s">
        <v>25</v>
      </c>
      <c r="G201" t="s">
        <v>30</v>
      </c>
      <c r="H201" t="s">
        <v>37</v>
      </c>
      <c r="I201">
        <v>22</v>
      </c>
      <c r="J201" t="s">
        <v>88</v>
      </c>
      <c r="K201">
        <v>64.7333</v>
      </c>
      <c r="L201">
        <v>-152.4667</v>
      </c>
      <c r="M201" t="s">
        <v>43</v>
      </c>
      <c r="N201" t="s">
        <v>49</v>
      </c>
      <c r="O201" t="s">
        <v>53</v>
      </c>
    </row>
    <row r="202" spans="1:15" x14ac:dyDescent="0.2">
      <c r="A202" t="s">
        <v>7</v>
      </c>
      <c r="B202" t="s">
        <v>11</v>
      </c>
      <c r="C202" t="s">
        <v>14</v>
      </c>
      <c r="D202" t="s">
        <v>14</v>
      </c>
      <c r="E202" t="s">
        <v>20</v>
      </c>
      <c r="F202" t="s">
        <v>25</v>
      </c>
      <c r="G202" t="s">
        <v>29</v>
      </c>
      <c r="H202" t="s">
        <v>35</v>
      </c>
      <c r="I202">
        <v>2</v>
      </c>
      <c r="J202" t="s">
        <v>68</v>
      </c>
      <c r="K202">
        <v>43.683300000000003</v>
      </c>
      <c r="L202">
        <v>-71.583299999999994</v>
      </c>
      <c r="M202" t="s">
        <v>41</v>
      </c>
      <c r="N202" t="s">
        <v>47</v>
      </c>
      <c r="O202" t="s">
        <v>55</v>
      </c>
    </row>
    <row r="203" spans="1:15" x14ac:dyDescent="0.2">
      <c r="A203" t="s">
        <v>8</v>
      </c>
      <c r="B203" t="s">
        <v>11</v>
      </c>
      <c r="C203" t="s">
        <v>18</v>
      </c>
      <c r="D203">
        <v>0</v>
      </c>
      <c r="E203" t="s">
        <v>19</v>
      </c>
      <c r="F203" t="s">
        <v>26</v>
      </c>
      <c r="G203" t="s">
        <v>31</v>
      </c>
      <c r="H203" t="s">
        <v>39</v>
      </c>
      <c r="I203">
        <v>999</v>
      </c>
      <c r="J203" t="s">
        <v>90</v>
      </c>
      <c r="K203">
        <v>25</v>
      </c>
      <c r="L203">
        <v>-90</v>
      </c>
      <c r="M203" t="s">
        <v>45</v>
      </c>
      <c r="N203" t="s">
        <v>51</v>
      </c>
      <c r="O203" t="s">
        <v>57</v>
      </c>
    </row>
    <row r="204" spans="1:15" x14ac:dyDescent="0.2">
      <c r="A204" t="s">
        <v>8</v>
      </c>
      <c r="B204" t="s">
        <v>12</v>
      </c>
      <c r="C204" t="s">
        <v>17</v>
      </c>
      <c r="D204">
        <v>0</v>
      </c>
      <c r="E204" t="s">
        <v>21</v>
      </c>
      <c r="F204" t="s">
        <v>26</v>
      </c>
      <c r="G204" t="s">
        <v>32</v>
      </c>
      <c r="H204" t="s">
        <v>38</v>
      </c>
      <c r="I204">
        <v>999</v>
      </c>
      <c r="J204" t="s">
        <v>90</v>
      </c>
      <c r="K204">
        <v>25</v>
      </c>
      <c r="L204">
        <v>-90</v>
      </c>
      <c r="M204" t="s">
        <v>44</v>
      </c>
      <c r="N204" t="s">
        <v>50</v>
      </c>
      <c r="O204" t="s">
        <v>56</v>
      </c>
    </row>
    <row r="205" spans="1:15" x14ac:dyDescent="0.2">
      <c r="A205" t="s">
        <v>7</v>
      </c>
      <c r="B205" t="s">
        <v>12</v>
      </c>
      <c r="C205" t="s">
        <v>17</v>
      </c>
      <c r="D205">
        <v>0</v>
      </c>
      <c r="E205" t="s">
        <v>20</v>
      </c>
      <c r="F205" t="s">
        <v>26</v>
      </c>
      <c r="G205" t="s">
        <v>29</v>
      </c>
      <c r="H205" t="s">
        <v>38</v>
      </c>
      <c r="I205">
        <v>999</v>
      </c>
      <c r="J205" t="s">
        <v>90</v>
      </c>
      <c r="K205">
        <v>25</v>
      </c>
      <c r="L205">
        <v>-90</v>
      </c>
      <c r="M205" t="s">
        <v>44</v>
      </c>
      <c r="N205" t="s">
        <v>50</v>
      </c>
      <c r="O205" t="s">
        <v>56</v>
      </c>
    </row>
    <row r="206" spans="1:15" x14ac:dyDescent="0.2">
      <c r="A206" t="s">
        <v>5</v>
      </c>
      <c r="B206" t="s">
        <v>12</v>
      </c>
      <c r="C206" t="s">
        <v>17</v>
      </c>
      <c r="D206">
        <v>0</v>
      </c>
      <c r="E206" t="s">
        <v>20</v>
      </c>
      <c r="F206" t="s">
        <v>25</v>
      </c>
      <c r="G206" t="s">
        <v>30</v>
      </c>
      <c r="H206" t="s">
        <v>38</v>
      </c>
      <c r="I206">
        <v>999</v>
      </c>
      <c r="J206" t="s">
        <v>90</v>
      </c>
      <c r="K206">
        <v>25</v>
      </c>
      <c r="L206">
        <v>-90</v>
      </c>
      <c r="M206" t="s">
        <v>44</v>
      </c>
      <c r="N206" t="s">
        <v>50</v>
      </c>
      <c r="O206" t="s">
        <v>56</v>
      </c>
    </row>
    <row r="207" spans="1:15" x14ac:dyDescent="0.2">
      <c r="A207" t="s">
        <v>7</v>
      </c>
      <c r="B207" t="s">
        <v>13</v>
      </c>
      <c r="C207" t="s">
        <v>18</v>
      </c>
      <c r="D207">
        <v>0</v>
      </c>
      <c r="E207" t="s">
        <v>19</v>
      </c>
      <c r="F207" t="s">
        <v>25</v>
      </c>
      <c r="G207" t="s">
        <v>29</v>
      </c>
      <c r="H207" t="s">
        <v>39</v>
      </c>
      <c r="I207">
        <v>999</v>
      </c>
      <c r="J207" t="s">
        <v>90</v>
      </c>
      <c r="K207">
        <v>25</v>
      </c>
      <c r="L207">
        <v>-90</v>
      </c>
      <c r="M207" t="s">
        <v>45</v>
      </c>
      <c r="N207" t="s">
        <v>51</v>
      </c>
      <c r="O207" t="s">
        <v>57</v>
      </c>
    </row>
    <row r="208" spans="1:15" x14ac:dyDescent="0.2">
      <c r="A208" t="s">
        <v>9</v>
      </c>
      <c r="B208" t="s">
        <v>12</v>
      </c>
      <c r="C208" t="s">
        <v>16</v>
      </c>
      <c r="D208" t="s">
        <v>18</v>
      </c>
      <c r="E208" t="s">
        <v>21</v>
      </c>
      <c r="F208" t="s">
        <v>25</v>
      </c>
      <c r="G208" t="s">
        <v>31</v>
      </c>
      <c r="H208" t="s">
        <v>37</v>
      </c>
      <c r="I208">
        <v>6</v>
      </c>
      <c r="J208" t="s">
        <v>72</v>
      </c>
      <c r="K208">
        <v>42.966700000000003</v>
      </c>
      <c r="L208">
        <v>-75.5167</v>
      </c>
      <c r="M208" t="s">
        <v>43</v>
      </c>
      <c r="N208" t="s">
        <v>49</v>
      </c>
      <c r="O208" t="s">
        <v>53</v>
      </c>
    </row>
    <row r="209" spans="1:15" x14ac:dyDescent="0.2">
      <c r="A209" t="s">
        <v>6</v>
      </c>
      <c r="B209" t="s">
        <v>11</v>
      </c>
      <c r="C209" t="s">
        <v>16</v>
      </c>
      <c r="D209" t="s">
        <v>18</v>
      </c>
      <c r="E209" t="s">
        <v>21</v>
      </c>
      <c r="F209" t="s">
        <v>26</v>
      </c>
      <c r="G209" t="s">
        <v>32</v>
      </c>
      <c r="H209" t="s">
        <v>37</v>
      </c>
      <c r="I209">
        <v>1</v>
      </c>
      <c r="J209" t="s">
        <v>67</v>
      </c>
      <c r="K209">
        <v>45.366700000000002</v>
      </c>
      <c r="L209">
        <v>-69.2333</v>
      </c>
      <c r="M209" t="s">
        <v>43</v>
      </c>
      <c r="N209" t="s">
        <v>49</v>
      </c>
      <c r="O209" t="s">
        <v>53</v>
      </c>
    </row>
    <row r="210" spans="1:15" x14ac:dyDescent="0.2">
      <c r="A210" t="s">
        <v>5</v>
      </c>
      <c r="B210" t="s">
        <v>11</v>
      </c>
      <c r="C210" t="s">
        <v>16</v>
      </c>
      <c r="D210" t="s">
        <v>18</v>
      </c>
      <c r="E210" t="s">
        <v>20</v>
      </c>
      <c r="F210" t="s">
        <v>26</v>
      </c>
      <c r="G210" t="s">
        <v>29</v>
      </c>
      <c r="H210" t="s">
        <v>37</v>
      </c>
      <c r="I210">
        <v>13</v>
      </c>
      <c r="J210" t="s">
        <v>79</v>
      </c>
      <c r="K210">
        <v>32.716700000000003</v>
      </c>
      <c r="L210">
        <v>-83.5</v>
      </c>
      <c r="M210" t="s">
        <v>43</v>
      </c>
      <c r="N210" t="s">
        <v>49</v>
      </c>
      <c r="O210" t="s">
        <v>53</v>
      </c>
    </row>
    <row r="211" spans="1:15" x14ac:dyDescent="0.2">
      <c r="A211" t="s">
        <v>9</v>
      </c>
      <c r="B211" t="s">
        <v>13</v>
      </c>
      <c r="C211" t="s">
        <v>15</v>
      </c>
      <c r="D211" t="s">
        <v>15</v>
      </c>
      <c r="E211" t="s">
        <v>19</v>
      </c>
      <c r="F211" t="s">
        <v>26</v>
      </c>
      <c r="G211" t="s">
        <v>31</v>
      </c>
      <c r="H211" t="s">
        <v>36</v>
      </c>
      <c r="I211">
        <v>99</v>
      </c>
      <c r="J211" t="s">
        <v>22</v>
      </c>
      <c r="K211">
        <v>39.833300000000001</v>
      </c>
      <c r="L211">
        <v>-98.583299999999994</v>
      </c>
      <c r="M211" t="s">
        <v>42</v>
      </c>
      <c r="N211" t="s">
        <v>48</v>
      </c>
      <c r="O211" t="s">
        <v>54</v>
      </c>
    </row>
    <row r="212" spans="1:15" x14ac:dyDescent="0.2">
      <c r="A212" t="s">
        <v>5</v>
      </c>
      <c r="B212" t="s">
        <v>13</v>
      </c>
      <c r="C212" t="s">
        <v>17</v>
      </c>
      <c r="D212">
        <v>0</v>
      </c>
      <c r="E212" t="s">
        <v>20</v>
      </c>
      <c r="F212" t="s">
        <v>27</v>
      </c>
      <c r="G212" t="s">
        <v>32</v>
      </c>
      <c r="H212" t="s">
        <v>38</v>
      </c>
      <c r="I212">
        <v>999</v>
      </c>
      <c r="J212" t="s">
        <v>90</v>
      </c>
      <c r="K212">
        <v>25</v>
      </c>
      <c r="L212">
        <v>-90</v>
      </c>
      <c r="M212" t="s">
        <v>44</v>
      </c>
      <c r="N212" t="s">
        <v>50</v>
      </c>
      <c r="O212" t="s">
        <v>56</v>
      </c>
    </row>
    <row r="213" spans="1:15" x14ac:dyDescent="0.2">
      <c r="A213" t="s">
        <v>6</v>
      </c>
      <c r="B213" t="s">
        <v>11</v>
      </c>
      <c r="C213" t="s">
        <v>18</v>
      </c>
      <c r="D213">
        <v>0</v>
      </c>
      <c r="E213" t="s">
        <v>19</v>
      </c>
      <c r="F213" t="s">
        <v>24</v>
      </c>
      <c r="G213" t="s">
        <v>31</v>
      </c>
      <c r="H213" t="s">
        <v>39</v>
      </c>
      <c r="I213">
        <v>999</v>
      </c>
      <c r="J213" t="s">
        <v>90</v>
      </c>
      <c r="K213">
        <v>25</v>
      </c>
      <c r="L213">
        <v>-90</v>
      </c>
      <c r="M213" t="s">
        <v>45</v>
      </c>
      <c r="N213" t="s">
        <v>51</v>
      </c>
      <c r="O213" t="s">
        <v>57</v>
      </c>
    </row>
    <row r="214" spans="1:15" x14ac:dyDescent="0.2">
      <c r="A214" t="s">
        <v>9</v>
      </c>
      <c r="B214" t="s">
        <v>13</v>
      </c>
      <c r="C214" t="s">
        <v>16</v>
      </c>
      <c r="D214" t="s">
        <v>18</v>
      </c>
      <c r="E214" t="s">
        <v>19</v>
      </c>
      <c r="F214" t="s">
        <v>27</v>
      </c>
      <c r="G214" t="s">
        <v>30</v>
      </c>
      <c r="H214" t="s">
        <v>37</v>
      </c>
      <c r="I214">
        <v>2</v>
      </c>
      <c r="J214" t="s">
        <v>68</v>
      </c>
      <c r="K214">
        <v>43.683300000000003</v>
      </c>
      <c r="L214">
        <v>-71.583299999999994</v>
      </c>
      <c r="M214" t="s">
        <v>43</v>
      </c>
      <c r="N214" t="s">
        <v>49</v>
      </c>
      <c r="O214" t="s">
        <v>53</v>
      </c>
    </row>
    <row r="215" spans="1:15" x14ac:dyDescent="0.2">
      <c r="A215" t="s">
        <v>9</v>
      </c>
      <c r="B215" t="s">
        <v>13</v>
      </c>
      <c r="C215" t="s">
        <v>18</v>
      </c>
      <c r="D215">
        <v>0</v>
      </c>
      <c r="E215" t="s">
        <v>21</v>
      </c>
      <c r="F215" t="s">
        <v>27</v>
      </c>
      <c r="G215" t="s">
        <v>30</v>
      </c>
      <c r="H215" t="s">
        <v>39</v>
      </c>
      <c r="I215">
        <v>999</v>
      </c>
      <c r="J215" t="s">
        <v>90</v>
      </c>
      <c r="K215">
        <v>25</v>
      </c>
      <c r="L215">
        <v>-90</v>
      </c>
      <c r="M215" t="s">
        <v>45</v>
      </c>
      <c r="N215" t="s">
        <v>51</v>
      </c>
      <c r="O215" t="s">
        <v>57</v>
      </c>
    </row>
    <row r="216" spans="1:15" x14ac:dyDescent="0.2">
      <c r="A216" t="s">
        <v>9</v>
      </c>
      <c r="B216" t="s">
        <v>11</v>
      </c>
      <c r="C216" t="s">
        <v>18</v>
      </c>
      <c r="D216">
        <v>0</v>
      </c>
      <c r="E216" t="s">
        <v>20</v>
      </c>
      <c r="F216" t="s">
        <v>26</v>
      </c>
      <c r="G216" t="s">
        <v>31</v>
      </c>
      <c r="H216" t="s">
        <v>39</v>
      </c>
      <c r="I216">
        <v>999</v>
      </c>
      <c r="J216" t="s">
        <v>90</v>
      </c>
      <c r="K216">
        <v>25</v>
      </c>
      <c r="L216">
        <v>-90</v>
      </c>
      <c r="M216" t="s">
        <v>45</v>
      </c>
      <c r="N216" t="s">
        <v>51</v>
      </c>
      <c r="O216" t="s">
        <v>57</v>
      </c>
    </row>
    <row r="217" spans="1:15" x14ac:dyDescent="0.2">
      <c r="A217" t="s">
        <v>8</v>
      </c>
      <c r="B217" t="s">
        <v>11</v>
      </c>
      <c r="C217" t="s">
        <v>18</v>
      </c>
      <c r="D217">
        <v>0</v>
      </c>
      <c r="E217" t="s">
        <v>19</v>
      </c>
      <c r="F217" t="s">
        <v>26</v>
      </c>
      <c r="G217" t="s">
        <v>31</v>
      </c>
      <c r="H217" t="s">
        <v>39</v>
      </c>
      <c r="I217">
        <v>999</v>
      </c>
      <c r="J217" t="s">
        <v>90</v>
      </c>
      <c r="K217">
        <v>25</v>
      </c>
      <c r="L217">
        <v>-90</v>
      </c>
      <c r="M217" t="s">
        <v>45</v>
      </c>
      <c r="N217" t="s">
        <v>51</v>
      </c>
      <c r="O217" t="s">
        <v>57</v>
      </c>
    </row>
    <row r="218" spans="1:15" x14ac:dyDescent="0.2">
      <c r="A218" t="s">
        <v>10</v>
      </c>
      <c r="B218" t="s">
        <v>13</v>
      </c>
      <c r="C218" t="s">
        <v>17</v>
      </c>
      <c r="D218">
        <v>0</v>
      </c>
      <c r="E218" t="s">
        <v>21</v>
      </c>
      <c r="F218" t="s">
        <v>25</v>
      </c>
      <c r="G218" t="s">
        <v>29</v>
      </c>
      <c r="H218" t="s">
        <v>38</v>
      </c>
      <c r="I218">
        <v>999</v>
      </c>
      <c r="J218" t="s">
        <v>90</v>
      </c>
      <c r="K218">
        <v>25</v>
      </c>
      <c r="L218">
        <v>-90</v>
      </c>
      <c r="M218" t="s">
        <v>44</v>
      </c>
      <c r="N218" t="s">
        <v>50</v>
      </c>
      <c r="O218" t="s">
        <v>56</v>
      </c>
    </row>
    <row r="219" spans="1:15" x14ac:dyDescent="0.2">
      <c r="A219" t="s">
        <v>8</v>
      </c>
      <c r="B219" t="s">
        <v>13</v>
      </c>
      <c r="C219" t="s">
        <v>18</v>
      </c>
      <c r="D219">
        <v>0</v>
      </c>
      <c r="E219" t="s">
        <v>19</v>
      </c>
      <c r="F219" t="s">
        <v>26</v>
      </c>
      <c r="G219" t="s">
        <v>30</v>
      </c>
      <c r="H219" t="s">
        <v>39</v>
      </c>
      <c r="I219">
        <v>999</v>
      </c>
      <c r="J219" t="s">
        <v>90</v>
      </c>
      <c r="K219">
        <v>25</v>
      </c>
      <c r="L219">
        <v>-90</v>
      </c>
      <c r="M219" t="s">
        <v>45</v>
      </c>
      <c r="N219" t="s">
        <v>51</v>
      </c>
      <c r="O219" t="s">
        <v>57</v>
      </c>
    </row>
    <row r="220" spans="1:15" x14ac:dyDescent="0.2">
      <c r="A220" t="s">
        <v>5</v>
      </c>
      <c r="B220" t="s">
        <v>11</v>
      </c>
      <c r="C220" t="s">
        <v>18</v>
      </c>
      <c r="D220">
        <v>0</v>
      </c>
      <c r="E220" t="s">
        <v>19</v>
      </c>
      <c r="F220" t="s">
        <v>25</v>
      </c>
      <c r="G220" t="s">
        <v>30</v>
      </c>
      <c r="H220" t="s">
        <v>39</v>
      </c>
      <c r="I220">
        <v>999</v>
      </c>
      <c r="J220" t="s">
        <v>90</v>
      </c>
      <c r="K220">
        <v>25</v>
      </c>
      <c r="L220">
        <v>-90</v>
      </c>
      <c r="M220" t="s">
        <v>45</v>
      </c>
      <c r="N220" t="s">
        <v>51</v>
      </c>
      <c r="O220" t="s">
        <v>57</v>
      </c>
    </row>
    <row r="221" spans="1:15" x14ac:dyDescent="0.2">
      <c r="A221" t="s">
        <v>9</v>
      </c>
      <c r="B221" t="s">
        <v>11</v>
      </c>
      <c r="C221" t="s">
        <v>14</v>
      </c>
      <c r="D221" t="s">
        <v>14</v>
      </c>
      <c r="E221" t="s">
        <v>20</v>
      </c>
      <c r="F221" t="s">
        <v>26</v>
      </c>
      <c r="G221" t="s">
        <v>32</v>
      </c>
      <c r="H221" t="s">
        <v>35</v>
      </c>
      <c r="I221">
        <v>9</v>
      </c>
      <c r="J221" t="s">
        <v>75</v>
      </c>
      <c r="K221">
        <v>39.049999999999997</v>
      </c>
      <c r="L221">
        <v>-76.633300000000006</v>
      </c>
      <c r="M221" t="s">
        <v>41</v>
      </c>
      <c r="N221" t="s">
        <v>47</v>
      </c>
      <c r="O221" t="s">
        <v>55</v>
      </c>
    </row>
    <row r="222" spans="1:15" x14ac:dyDescent="0.2">
      <c r="A222" t="s">
        <v>10</v>
      </c>
      <c r="B222" t="s">
        <v>13</v>
      </c>
      <c r="C222" t="s">
        <v>16</v>
      </c>
      <c r="D222" t="s">
        <v>18</v>
      </c>
      <c r="E222" t="s">
        <v>21</v>
      </c>
      <c r="F222" t="s">
        <v>25</v>
      </c>
      <c r="G222" t="s">
        <v>31</v>
      </c>
      <c r="H222" t="s">
        <v>37</v>
      </c>
      <c r="I222">
        <v>12</v>
      </c>
      <c r="J222" t="s">
        <v>78</v>
      </c>
      <c r="K222">
        <v>33.833300000000001</v>
      </c>
      <c r="L222">
        <v>-81.166700000000006</v>
      </c>
      <c r="M222" t="s">
        <v>43</v>
      </c>
      <c r="N222" t="s">
        <v>49</v>
      </c>
      <c r="O222" t="s">
        <v>53</v>
      </c>
    </row>
    <row r="223" spans="1:15" x14ac:dyDescent="0.2">
      <c r="A223" t="s">
        <v>7</v>
      </c>
      <c r="B223" t="s">
        <v>11</v>
      </c>
      <c r="C223" t="s">
        <v>14</v>
      </c>
      <c r="D223" t="s">
        <v>14</v>
      </c>
      <c r="E223" t="s">
        <v>21</v>
      </c>
      <c r="F223" t="s">
        <v>24</v>
      </c>
      <c r="G223" t="s">
        <v>30</v>
      </c>
      <c r="H223" t="s">
        <v>35</v>
      </c>
      <c r="I223">
        <v>21</v>
      </c>
      <c r="J223" t="s">
        <v>87</v>
      </c>
      <c r="K223">
        <v>47.75</v>
      </c>
      <c r="L223">
        <v>-120.7333</v>
      </c>
      <c r="M223" t="s">
        <v>41</v>
      </c>
      <c r="N223" t="s">
        <v>47</v>
      </c>
      <c r="O223" t="s">
        <v>55</v>
      </c>
    </row>
    <row r="224" spans="1:15" x14ac:dyDescent="0.2">
      <c r="A224" t="s">
        <v>6</v>
      </c>
      <c r="B224" t="s">
        <v>12</v>
      </c>
      <c r="C224" t="s">
        <v>15</v>
      </c>
      <c r="D224" t="s">
        <v>15</v>
      </c>
      <c r="E224" t="s">
        <v>21</v>
      </c>
      <c r="F224" t="s">
        <v>27</v>
      </c>
      <c r="G224" t="s">
        <v>29</v>
      </c>
      <c r="H224" t="s">
        <v>36</v>
      </c>
      <c r="I224">
        <v>99</v>
      </c>
      <c r="J224" t="s">
        <v>22</v>
      </c>
      <c r="K224">
        <v>39.833300000000001</v>
      </c>
      <c r="L224">
        <v>-98.583299999999994</v>
      </c>
      <c r="M224" t="s">
        <v>42</v>
      </c>
      <c r="N224" t="s">
        <v>48</v>
      </c>
      <c r="O224" t="s">
        <v>54</v>
      </c>
    </row>
    <row r="225" spans="1:15" x14ac:dyDescent="0.2">
      <c r="A225" t="s">
        <v>6</v>
      </c>
      <c r="B225" t="s">
        <v>12</v>
      </c>
      <c r="C225" t="s">
        <v>16</v>
      </c>
      <c r="D225" t="s">
        <v>18</v>
      </c>
      <c r="E225" t="s">
        <v>19</v>
      </c>
      <c r="F225" t="s">
        <v>26</v>
      </c>
      <c r="G225" t="s">
        <v>32</v>
      </c>
      <c r="H225" t="s">
        <v>37</v>
      </c>
      <c r="I225">
        <v>16</v>
      </c>
      <c r="J225" t="s">
        <v>82</v>
      </c>
      <c r="K225">
        <v>30.4</v>
      </c>
      <c r="L225">
        <v>-92.333299999999994</v>
      </c>
      <c r="M225" t="s">
        <v>43</v>
      </c>
      <c r="N225" t="s">
        <v>49</v>
      </c>
      <c r="O225" t="s">
        <v>53</v>
      </c>
    </row>
    <row r="226" spans="1:15" x14ac:dyDescent="0.2">
      <c r="A226" t="s">
        <v>8</v>
      </c>
      <c r="B226" t="s">
        <v>12</v>
      </c>
      <c r="C226" t="s">
        <v>15</v>
      </c>
      <c r="D226" t="s">
        <v>15</v>
      </c>
      <c r="E226" t="s">
        <v>19</v>
      </c>
      <c r="F226" t="s">
        <v>24</v>
      </c>
      <c r="G226" t="s">
        <v>32</v>
      </c>
      <c r="H226" t="s">
        <v>36</v>
      </c>
      <c r="I226">
        <v>99</v>
      </c>
      <c r="J226" t="s">
        <v>22</v>
      </c>
      <c r="K226">
        <v>39.833300000000001</v>
      </c>
      <c r="L226">
        <v>-98.583299999999994</v>
      </c>
      <c r="M226" t="s">
        <v>42</v>
      </c>
      <c r="N226" t="s">
        <v>48</v>
      </c>
      <c r="O226" t="s">
        <v>54</v>
      </c>
    </row>
    <row r="227" spans="1:15" x14ac:dyDescent="0.2">
      <c r="A227" t="s">
        <v>10</v>
      </c>
      <c r="B227" t="s">
        <v>12</v>
      </c>
      <c r="C227" t="s">
        <v>14</v>
      </c>
      <c r="D227" t="s">
        <v>14</v>
      </c>
      <c r="E227" t="s">
        <v>20</v>
      </c>
      <c r="F227" t="s">
        <v>26</v>
      </c>
      <c r="G227" t="s">
        <v>29</v>
      </c>
      <c r="H227" t="s">
        <v>35</v>
      </c>
      <c r="I227">
        <v>14</v>
      </c>
      <c r="J227" t="s">
        <v>80</v>
      </c>
      <c r="K227">
        <v>28.133299999999998</v>
      </c>
      <c r="L227">
        <v>-81.633300000000006</v>
      </c>
      <c r="M227" t="s">
        <v>41</v>
      </c>
      <c r="N227" t="s">
        <v>47</v>
      </c>
      <c r="O227" t="s">
        <v>55</v>
      </c>
    </row>
    <row r="228" spans="1:15" x14ac:dyDescent="0.2">
      <c r="A228" t="s">
        <v>7</v>
      </c>
      <c r="B228" t="s">
        <v>13</v>
      </c>
      <c r="C228" t="s">
        <v>14</v>
      </c>
      <c r="D228" t="s">
        <v>14</v>
      </c>
      <c r="E228" t="s">
        <v>21</v>
      </c>
      <c r="F228" t="s">
        <v>26</v>
      </c>
      <c r="G228" t="s">
        <v>32</v>
      </c>
      <c r="H228" t="s">
        <v>35</v>
      </c>
      <c r="I228">
        <v>5</v>
      </c>
      <c r="J228" t="s">
        <v>71</v>
      </c>
      <c r="K228">
        <v>41.6</v>
      </c>
      <c r="L228">
        <v>-72.7</v>
      </c>
      <c r="M228" t="s">
        <v>41</v>
      </c>
      <c r="N228" t="s">
        <v>47</v>
      </c>
      <c r="O228" t="s">
        <v>55</v>
      </c>
    </row>
    <row r="229" spans="1:15" x14ac:dyDescent="0.2">
      <c r="A229" t="s">
        <v>6</v>
      </c>
      <c r="B229" t="s">
        <v>12</v>
      </c>
      <c r="C229" t="s">
        <v>16</v>
      </c>
      <c r="D229" t="s">
        <v>18</v>
      </c>
      <c r="E229" t="s">
        <v>20</v>
      </c>
      <c r="F229" t="s">
        <v>25</v>
      </c>
      <c r="G229" t="s">
        <v>29</v>
      </c>
      <c r="H229" t="s">
        <v>37</v>
      </c>
      <c r="I229">
        <v>9</v>
      </c>
      <c r="J229" t="s">
        <v>75</v>
      </c>
      <c r="K229">
        <v>39.049999999999997</v>
      </c>
      <c r="L229">
        <v>-76.633300000000006</v>
      </c>
      <c r="M229" t="s">
        <v>43</v>
      </c>
      <c r="N229" t="s">
        <v>49</v>
      </c>
      <c r="O229" t="s">
        <v>53</v>
      </c>
    </row>
    <row r="230" spans="1:15" x14ac:dyDescent="0.2">
      <c r="A230" t="s">
        <v>5</v>
      </c>
      <c r="B230" t="s">
        <v>13</v>
      </c>
      <c r="C230" t="s">
        <v>14</v>
      </c>
      <c r="D230" t="s">
        <v>14</v>
      </c>
      <c r="E230" t="s">
        <v>19</v>
      </c>
      <c r="F230" t="s">
        <v>25</v>
      </c>
      <c r="G230" t="s">
        <v>30</v>
      </c>
      <c r="H230" t="s">
        <v>35</v>
      </c>
      <c r="I230">
        <v>1</v>
      </c>
      <c r="J230" t="s">
        <v>67</v>
      </c>
      <c r="K230">
        <v>45.366700000000002</v>
      </c>
      <c r="L230">
        <v>-69.2333</v>
      </c>
      <c r="M230" t="s">
        <v>41</v>
      </c>
      <c r="N230" t="s">
        <v>47</v>
      </c>
      <c r="O230" t="s">
        <v>55</v>
      </c>
    </row>
    <row r="231" spans="1:15" x14ac:dyDescent="0.2">
      <c r="A231" t="s">
        <v>8</v>
      </c>
      <c r="B231" t="s">
        <v>13</v>
      </c>
      <c r="C231" t="s">
        <v>18</v>
      </c>
      <c r="D231">
        <v>0</v>
      </c>
      <c r="E231" t="s">
        <v>19</v>
      </c>
      <c r="F231" t="s">
        <v>24</v>
      </c>
      <c r="G231" t="s">
        <v>32</v>
      </c>
      <c r="H231" t="s">
        <v>39</v>
      </c>
      <c r="I231">
        <v>999</v>
      </c>
      <c r="J231" t="s">
        <v>90</v>
      </c>
      <c r="K231">
        <v>25</v>
      </c>
      <c r="L231">
        <v>-90</v>
      </c>
      <c r="M231" t="s">
        <v>45</v>
      </c>
      <c r="N231" t="s">
        <v>51</v>
      </c>
      <c r="O231" t="s">
        <v>57</v>
      </c>
    </row>
    <row r="232" spans="1:15" x14ac:dyDescent="0.2">
      <c r="A232" t="s">
        <v>7</v>
      </c>
      <c r="B232" t="s">
        <v>13</v>
      </c>
      <c r="C232" t="s">
        <v>16</v>
      </c>
      <c r="D232" t="s">
        <v>18</v>
      </c>
      <c r="E232" t="s">
        <v>20</v>
      </c>
      <c r="F232" t="s">
        <v>24</v>
      </c>
      <c r="G232" t="s">
        <v>29</v>
      </c>
      <c r="H232" t="s">
        <v>37</v>
      </c>
      <c r="I232">
        <v>4</v>
      </c>
      <c r="J232" t="s">
        <v>70</v>
      </c>
      <c r="K232">
        <v>41.666699999999999</v>
      </c>
      <c r="L232">
        <v>-71.5</v>
      </c>
      <c r="M232" t="s">
        <v>43</v>
      </c>
      <c r="N232" t="s">
        <v>49</v>
      </c>
      <c r="O232" t="s">
        <v>53</v>
      </c>
    </row>
    <row r="233" spans="1:15" x14ac:dyDescent="0.2">
      <c r="A233" t="s">
        <v>6</v>
      </c>
      <c r="B233" t="s">
        <v>12</v>
      </c>
      <c r="C233" t="s">
        <v>15</v>
      </c>
      <c r="D233" t="s">
        <v>15</v>
      </c>
      <c r="E233" t="s">
        <v>19</v>
      </c>
      <c r="F233" t="s">
        <v>26</v>
      </c>
      <c r="G233" t="s">
        <v>30</v>
      </c>
      <c r="H233" t="s">
        <v>36</v>
      </c>
      <c r="I233">
        <v>99</v>
      </c>
      <c r="J233" t="s">
        <v>22</v>
      </c>
      <c r="K233">
        <v>39.833300000000001</v>
      </c>
      <c r="L233">
        <v>-98.583299999999994</v>
      </c>
      <c r="M233" t="s">
        <v>42</v>
      </c>
      <c r="N233" t="s">
        <v>48</v>
      </c>
      <c r="O233" t="s">
        <v>54</v>
      </c>
    </row>
    <row r="234" spans="1:15" x14ac:dyDescent="0.2">
      <c r="A234" t="s">
        <v>8</v>
      </c>
      <c r="B234" t="s">
        <v>13</v>
      </c>
      <c r="C234" t="s">
        <v>14</v>
      </c>
      <c r="D234" t="s">
        <v>14</v>
      </c>
      <c r="E234" t="s">
        <v>20</v>
      </c>
      <c r="F234" t="s">
        <v>26</v>
      </c>
      <c r="G234" t="s">
        <v>32</v>
      </c>
      <c r="H234" t="s">
        <v>35</v>
      </c>
      <c r="I234">
        <v>5</v>
      </c>
      <c r="J234" t="s">
        <v>71</v>
      </c>
      <c r="K234">
        <v>41.6</v>
      </c>
      <c r="L234">
        <v>-72.7</v>
      </c>
      <c r="M234" t="s">
        <v>41</v>
      </c>
      <c r="N234" t="s">
        <v>47</v>
      </c>
      <c r="O234" t="s">
        <v>55</v>
      </c>
    </row>
    <row r="235" spans="1:15" x14ac:dyDescent="0.2">
      <c r="A235" t="s">
        <v>8</v>
      </c>
      <c r="B235" t="s">
        <v>12</v>
      </c>
      <c r="C235" t="s">
        <v>16</v>
      </c>
      <c r="D235" t="s">
        <v>18</v>
      </c>
      <c r="E235" t="s">
        <v>20</v>
      </c>
      <c r="F235" t="s">
        <v>25</v>
      </c>
      <c r="G235" t="s">
        <v>32</v>
      </c>
      <c r="H235" t="s">
        <v>37</v>
      </c>
      <c r="I235">
        <v>18</v>
      </c>
      <c r="J235" t="s">
        <v>84</v>
      </c>
      <c r="K235">
        <v>32.833300000000001</v>
      </c>
      <c r="L235">
        <v>-86.633300000000006</v>
      </c>
      <c r="M235" t="s">
        <v>43</v>
      </c>
      <c r="N235" t="s">
        <v>49</v>
      </c>
      <c r="O235" t="s">
        <v>53</v>
      </c>
    </row>
    <row r="236" spans="1:15" x14ac:dyDescent="0.2">
      <c r="A236" t="s">
        <v>7</v>
      </c>
      <c r="B236" t="s">
        <v>12</v>
      </c>
      <c r="C236" t="s">
        <v>14</v>
      </c>
      <c r="D236" t="s">
        <v>14</v>
      </c>
      <c r="E236" t="s">
        <v>19</v>
      </c>
      <c r="F236" t="s">
        <v>26</v>
      </c>
      <c r="G236" t="s">
        <v>31</v>
      </c>
      <c r="H236" t="s">
        <v>35</v>
      </c>
      <c r="I236">
        <v>21</v>
      </c>
      <c r="J236" t="s">
        <v>87</v>
      </c>
      <c r="K236">
        <v>47.75</v>
      </c>
      <c r="L236">
        <v>-120.7333</v>
      </c>
      <c r="M236" t="s">
        <v>41</v>
      </c>
      <c r="N236" t="s">
        <v>47</v>
      </c>
      <c r="O236" t="s">
        <v>55</v>
      </c>
    </row>
    <row r="237" spans="1:15" x14ac:dyDescent="0.2">
      <c r="A237" t="s">
        <v>9</v>
      </c>
      <c r="B237" t="s">
        <v>13</v>
      </c>
      <c r="C237" t="s">
        <v>14</v>
      </c>
      <c r="D237" t="s">
        <v>14</v>
      </c>
      <c r="E237" t="s">
        <v>20</v>
      </c>
      <c r="F237" t="s">
        <v>27</v>
      </c>
      <c r="G237" t="s">
        <v>29</v>
      </c>
      <c r="H237" t="s">
        <v>35</v>
      </c>
      <c r="I237">
        <v>13</v>
      </c>
      <c r="J237" t="s">
        <v>79</v>
      </c>
      <c r="K237">
        <v>32.716700000000003</v>
      </c>
      <c r="L237">
        <v>-83.5</v>
      </c>
      <c r="M237" t="s">
        <v>41</v>
      </c>
      <c r="N237" t="s">
        <v>47</v>
      </c>
      <c r="O237" t="s">
        <v>55</v>
      </c>
    </row>
    <row r="238" spans="1:15" x14ac:dyDescent="0.2">
      <c r="A238" t="s">
        <v>7</v>
      </c>
      <c r="B238" t="s">
        <v>13</v>
      </c>
      <c r="C238" t="s">
        <v>18</v>
      </c>
      <c r="D238">
        <v>0</v>
      </c>
      <c r="E238" t="s">
        <v>20</v>
      </c>
      <c r="F238" t="s">
        <v>26</v>
      </c>
      <c r="G238" t="s">
        <v>30</v>
      </c>
      <c r="H238" t="s">
        <v>39</v>
      </c>
      <c r="I238">
        <v>999</v>
      </c>
      <c r="J238" t="s">
        <v>90</v>
      </c>
      <c r="K238">
        <v>25</v>
      </c>
      <c r="L238">
        <v>-90</v>
      </c>
      <c r="M238" t="s">
        <v>45</v>
      </c>
      <c r="N238" t="s">
        <v>51</v>
      </c>
      <c r="O238" t="s">
        <v>57</v>
      </c>
    </row>
    <row r="239" spans="1:15" x14ac:dyDescent="0.2">
      <c r="A239" t="s">
        <v>10</v>
      </c>
      <c r="B239" t="s">
        <v>13</v>
      </c>
      <c r="C239" t="s">
        <v>15</v>
      </c>
      <c r="D239" t="s">
        <v>15</v>
      </c>
      <c r="E239" t="s">
        <v>20</v>
      </c>
      <c r="F239" t="s">
        <v>26</v>
      </c>
      <c r="G239" t="s">
        <v>30</v>
      </c>
      <c r="H239" t="s">
        <v>36</v>
      </c>
      <c r="I239">
        <v>99</v>
      </c>
      <c r="J239" t="s">
        <v>22</v>
      </c>
      <c r="K239">
        <v>39.833300000000001</v>
      </c>
      <c r="L239">
        <v>-98.583299999999994</v>
      </c>
      <c r="M239" t="s">
        <v>42</v>
      </c>
      <c r="N239" t="s">
        <v>48</v>
      </c>
      <c r="O239" t="s">
        <v>54</v>
      </c>
    </row>
    <row r="240" spans="1:15" x14ac:dyDescent="0.2">
      <c r="A240" t="s">
        <v>6</v>
      </c>
      <c r="B240" t="s">
        <v>11</v>
      </c>
      <c r="C240" t="s">
        <v>15</v>
      </c>
      <c r="D240" t="s">
        <v>15</v>
      </c>
      <c r="E240" t="s">
        <v>19</v>
      </c>
      <c r="F240" t="s">
        <v>24</v>
      </c>
      <c r="G240" t="s">
        <v>29</v>
      </c>
      <c r="H240" t="s">
        <v>36</v>
      </c>
      <c r="I240">
        <v>99</v>
      </c>
      <c r="J240" t="s">
        <v>22</v>
      </c>
      <c r="K240">
        <v>39.833300000000001</v>
      </c>
      <c r="L240">
        <v>-98.583299999999994</v>
      </c>
      <c r="M240" t="s">
        <v>42</v>
      </c>
      <c r="N240" t="s">
        <v>48</v>
      </c>
      <c r="O240" t="s">
        <v>54</v>
      </c>
    </row>
    <row r="241" spans="1:15" x14ac:dyDescent="0.2">
      <c r="A241" t="s">
        <v>9</v>
      </c>
      <c r="B241" t="s">
        <v>11</v>
      </c>
      <c r="C241" t="s">
        <v>14</v>
      </c>
      <c r="D241" t="s">
        <v>14</v>
      </c>
      <c r="E241" t="s">
        <v>20</v>
      </c>
      <c r="F241" t="s">
        <v>25</v>
      </c>
      <c r="G241" t="s">
        <v>32</v>
      </c>
      <c r="H241" t="s">
        <v>35</v>
      </c>
      <c r="I241">
        <v>9</v>
      </c>
      <c r="J241" t="s">
        <v>75</v>
      </c>
      <c r="K241">
        <v>39.049999999999997</v>
      </c>
      <c r="L241">
        <v>-76.633300000000006</v>
      </c>
      <c r="M241" t="s">
        <v>41</v>
      </c>
      <c r="N241" t="s">
        <v>47</v>
      </c>
      <c r="O241" t="s">
        <v>55</v>
      </c>
    </row>
    <row r="242" spans="1:15" x14ac:dyDescent="0.2">
      <c r="A242" t="s">
        <v>8</v>
      </c>
      <c r="B242" t="s">
        <v>11</v>
      </c>
      <c r="C242" t="s">
        <v>14</v>
      </c>
      <c r="D242" t="s">
        <v>14</v>
      </c>
      <c r="E242" t="s">
        <v>20</v>
      </c>
      <c r="F242" t="s">
        <v>27</v>
      </c>
      <c r="G242" t="s">
        <v>32</v>
      </c>
      <c r="H242" t="s">
        <v>35</v>
      </c>
      <c r="I242">
        <v>21</v>
      </c>
      <c r="J242" t="s">
        <v>87</v>
      </c>
      <c r="K242">
        <v>47.75</v>
      </c>
      <c r="L242">
        <v>-120.7333</v>
      </c>
      <c r="M242" t="s">
        <v>41</v>
      </c>
      <c r="N242" t="s">
        <v>47</v>
      </c>
      <c r="O242" t="s">
        <v>55</v>
      </c>
    </row>
    <row r="243" spans="1:15" x14ac:dyDescent="0.2">
      <c r="A243" t="s">
        <v>10</v>
      </c>
      <c r="B243" t="s">
        <v>13</v>
      </c>
      <c r="C243" t="s">
        <v>17</v>
      </c>
      <c r="D243">
        <v>0</v>
      </c>
      <c r="E243" t="s">
        <v>21</v>
      </c>
      <c r="F243" t="s">
        <v>24</v>
      </c>
      <c r="G243" t="s">
        <v>29</v>
      </c>
      <c r="H243" t="s">
        <v>38</v>
      </c>
      <c r="I243">
        <v>999</v>
      </c>
      <c r="J243" t="s">
        <v>90</v>
      </c>
      <c r="K243">
        <v>25</v>
      </c>
      <c r="L243">
        <v>-90</v>
      </c>
      <c r="M243" t="s">
        <v>44</v>
      </c>
      <c r="N243" t="s">
        <v>50</v>
      </c>
      <c r="O243" t="s">
        <v>56</v>
      </c>
    </row>
    <row r="244" spans="1:15" x14ac:dyDescent="0.2">
      <c r="A244" t="s">
        <v>10</v>
      </c>
      <c r="B244" t="s">
        <v>13</v>
      </c>
      <c r="C244" t="s">
        <v>18</v>
      </c>
      <c r="D244">
        <v>0</v>
      </c>
      <c r="E244" t="s">
        <v>21</v>
      </c>
      <c r="F244" t="s">
        <v>27</v>
      </c>
      <c r="G244" t="s">
        <v>32</v>
      </c>
      <c r="H244" t="s">
        <v>39</v>
      </c>
      <c r="I244">
        <v>999</v>
      </c>
      <c r="J244" t="s">
        <v>90</v>
      </c>
      <c r="K244">
        <v>25</v>
      </c>
      <c r="L244">
        <v>-90</v>
      </c>
      <c r="M244" t="s">
        <v>45</v>
      </c>
      <c r="N244" t="s">
        <v>51</v>
      </c>
      <c r="O244" t="s">
        <v>57</v>
      </c>
    </row>
    <row r="245" spans="1:15" x14ac:dyDescent="0.2">
      <c r="A245" t="s">
        <v>5</v>
      </c>
      <c r="B245" t="s">
        <v>12</v>
      </c>
      <c r="C245" t="s">
        <v>16</v>
      </c>
      <c r="D245" t="s">
        <v>18</v>
      </c>
      <c r="E245" t="s">
        <v>19</v>
      </c>
      <c r="F245" t="s">
        <v>27</v>
      </c>
      <c r="G245" t="s">
        <v>32</v>
      </c>
      <c r="H245" t="s">
        <v>37</v>
      </c>
      <c r="I245">
        <v>7</v>
      </c>
      <c r="J245" t="s">
        <v>73</v>
      </c>
      <c r="K245">
        <v>39.833300000000001</v>
      </c>
      <c r="L245">
        <v>-74.866699999999994</v>
      </c>
      <c r="M245" t="s">
        <v>43</v>
      </c>
      <c r="N245" t="s">
        <v>49</v>
      </c>
      <c r="O245" t="s">
        <v>53</v>
      </c>
    </row>
    <row r="246" spans="1:15" x14ac:dyDescent="0.2">
      <c r="A246" t="s">
        <v>6</v>
      </c>
      <c r="B246" t="s">
        <v>13</v>
      </c>
      <c r="C246" t="s">
        <v>18</v>
      </c>
      <c r="D246">
        <v>0</v>
      </c>
      <c r="E246" t="s">
        <v>20</v>
      </c>
      <c r="F246" t="s">
        <v>26</v>
      </c>
      <c r="G246" t="s">
        <v>32</v>
      </c>
      <c r="H246" t="s">
        <v>39</v>
      </c>
      <c r="I246">
        <v>999</v>
      </c>
      <c r="J246" t="s">
        <v>90</v>
      </c>
      <c r="K246">
        <v>25</v>
      </c>
      <c r="L246">
        <v>-90</v>
      </c>
      <c r="M246" t="s">
        <v>45</v>
      </c>
      <c r="N246" t="s">
        <v>51</v>
      </c>
      <c r="O246" t="s">
        <v>57</v>
      </c>
    </row>
    <row r="247" spans="1:15" x14ac:dyDescent="0.2">
      <c r="A247" t="s">
        <v>6</v>
      </c>
      <c r="B247" t="s">
        <v>13</v>
      </c>
      <c r="C247" t="s">
        <v>16</v>
      </c>
      <c r="D247" t="s">
        <v>18</v>
      </c>
      <c r="E247" t="s">
        <v>19</v>
      </c>
      <c r="F247" t="s">
        <v>27</v>
      </c>
      <c r="G247" t="s">
        <v>32</v>
      </c>
      <c r="H247" t="s">
        <v>37</v>
      </c>
      <c r="I247">
        <v>17</v>
      </c>
      <c r="J247" t="s">
        <v>83</v>
      </c>
      <c r="K247">
        <v>32.7333</v>
      </c>
      <c r="L247">
        <v>-89.666700000000006</v>
      </c>
      <c r="M247" t="s">
        <v>43</v>
      </c>
      <c r="N247" t="s">
        <v>49</v>
      </c>
      <c r="O247" t="s">
        <v>53</v>
      </c>
    </row>
    <row r="248" spans="1:15" x14ac:dyDescent="0.2">
      <c r="A248" t="s">
        <v>9</v>
      </c>
      <c r="B248" t="s">
        <v>13</v>
      </c>
      <c r="C248" t="s">
        <v>14</v>
      </c>
      <c r="D248" t="s">
        <v>14</v>
      </c>
      <c r="E248" t="s">
        <v>19</v>
      </c>
      <c r="F248" t="s">
        <v>26</v>
      </c>
      <c r="G248" t="s">
        <v>31</v>
      </c>
      <c r="H248" t="s">
        <v>35</v>
      </c>
      <c r="I248">
        <v>16</v>
      </c>
      <c r="J248" t="s">
        <v>82</v>
      </c>
      <c r="K248">
        <v>30.4</v>
      </c>
      <c r="L248">
        <v>-92.333299999999994</v>
      </c>
      <c r="M248" t="s">
        <v>41</v>
      </c>
      <c r="N248" t="s">
        <v>47</v>
      </c>
      <c r="O248" t="s">
        <v>55</v>
      </c>
    </row>
    <row r="249" spans="1:15" x14ac:dyDescent="0.2">
      <c r="A249" t="s">
        <v>7</v>
      </c>
      <c r="B249" t="s">
        <v>11</v>
      </c>
      <c r="C249" t="s">
        <v>17</v>
      </c>
      <c r="D249">
        <v>0</v>
      </c>
      <c r="E249" t="s">
        <v>21</v>
      </c>
      <c r="F249" t="s">
        <v>24</v>
      </c>
      <c r="G249" t="s">
        <v>29</v>
      </c>
      <c r="H249" t="s">
        <v>38</v>
      </c>
      <c r="I249">
        <v>999</v>
      </c>
      <c r="J249" t="s">
        <v>90</v>
      </c>
      <c r="K249">
        <v>25</v>
      </c>
      <c r="L249">
        <v>-90</v>
      </c>
      <c r="M249" t="s">
        <v>44</v>
      </c>
      <c r="N249" t="s">
        <v>50</v>
      </c>
      <c r="O249" t="s">
        <v>56</v>
      </c>
    </row>
    <row r="250" spans="1:15" x14ac:dyDescent="0.2">
      <c r="A250" t="s">
        <v>8</v>
      </c>
      <c r="B250" t="s">
        <v>11</v>
      </c>
      <c r="C250" t="s">
        <v>17</v>
      </c>
      <c r="D250">
        <v>0</v>
      </c>
      <c r="E250" t="s">
        <v>21</v>
      </c>
      <c r="F250" t="s">
        <v>25</v>
      </c>
      <c r="G250" t="s">
        <v>31</v>
      </c>
      <c r="H250" t="s">
        <v>38</v>
      </c>
      <c r="I250">
        <v>999</v>
      </c>
      <c r="J250" t="s">
        <v>90</v>
      </c>
      <c r="K250">
        <v>25</v>
      </c>
      <c r="L250">
        <v>-90</v>
      </c>
      <c r="M250" t="s">
        <v>44</v>
      </c>
      <c r="N250" t="s">
        <v>50</v>
      </c>
      <c r="O250" t="s">
        <v>56</v>
      </c>
    </row>
    <row r="251" spans="1:15" x14ac:dyDescent="0.2">
      <c r="A251" t="s">
        <v>7</v>
      </c>
      <c r="B251" t="s">
        <v>11</v>
      </c>
      <c r="C251" t="s">
        <v>16</v>
      </c>
      <c r="D251" t="s">
        <v>18</v>
      </c>
      <c r="E251" t="s">
        <v>20</v>
      </c>
      <c r="F251" t="s">
        <v>26</v>
      </c>
      <c r="G251" t="s">
        <v>29</v>
      </c>
      <c r="H251" t="s">
        <v>37</v>
      </c>
      <c r="I251">
        <v>12</v>
      </c>
      <c r="J251" t="s">
        <v>78</v>
      </c>
      <c r="K251">
        <v>33.833300000000001</v>
      </c>
      <c r="L251">
        <v>-81.166700000000006</v>
      </c>
      <c r="M251" t="s">
        <v>43</v>
      </c>
      <c r="N251" t="s">
        <v>49</v>
      </c>
      <c r="O25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Code Options</vt:lpstr>
      <vt:lpstr>States and Locations</vt:lpstr>
      <vt:lpstr>Master Sheet</vt:lpstr>
      <vt:lpstr>To Be Saved as CSV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2026-10-13T16:18:39Z</dcterms:created>
  <dcterms:modified xsi:type="dcterms:W3CDTF">2026-10-13T18:38:22Z</dcterms:modified>
</cp:coreProperties>
</file>